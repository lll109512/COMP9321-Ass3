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6215" codeName="{51196F13-6AD0-C1B8-E2B4-A1F9AE17003E}"/>
  <workbookPr codeName="ThisWorkbook"/>
  <mc:AlternateContent xmlns:mc="http://schemas.openxmlformats.org/markup-compatibility/2006">
    <mc:Choice Requires="x15">
      <x15ac:absPath xmlns:x15ac="http://schemas.microsoft.com/office/spreadsheetml/2010/11/ac" url="/Users/lixingyu/Documents/assignment/comp9321/assignment3/data/"/>
    </mc:Choice>
  </mc:AlternateContent>
  <bookViews>
    <workbookView xWindow="0" yWindow="460" windowWidth="30100" windowHeight="15720" tabRatio="714" firstSheet="5" activeTab="10"/>
  </bookViews>
  <sheets>
    <sheet name="Contents" sheetId="11" r:id="rId1"/>
    <sheet name="Table A1" sheetId="8" r:id="rId2"/>
    <sheet name="Table A2" sheetId="10" r:id="rId3"/>
    <sheet name="Table A3" sheetId="9" r:id="rId4"/>
    <sheet name="Tables A4.1 and A4.2" sheetId="19" r:id="rId5"/>
    <sheet name="Table A5" sheetId="7" r:id="rId6"/>
    <sheet name="Table A6" sheetId="12" r:id="rId7"/>
    <sheet name="Table A7" sheetId="13" r:id="rId8"/>
    <sheet name="Tables A8.1 and A8.2" sheetId="14" r:id="rId9"/>
    <sheet name="Tables A9.1 and A9.2" sheetId="22" r:id="rId10"/>
    <sheet name="Table A10" sheetId="4" r:id="rId11"/>
    <sheet name="Table A11" sheetId="24" r:id="rId12"/>
  </sheets>
  <definedNames>
    <definedName name="_AMO_UniqueIdentifier" hidden="1">"'e0d0a535-fe86-4f99-a3e9-02f6c1ca0497'"</definedName>
    <definedName name="_xlnm.Print_Area" localSheetId="0">Contents!$A$1:$B$4</definedName>
    <definedName name="_xlnm.Print_Area" localSheetId="1">'Table A1'!$A$1:$F$69</definedName>
    <definedName name="_xlnm.Print_Area" localSheetId="10">'Table A10'!$A$1:$R$1</definedName>
    <definedName name="_xlnm.Print_Area" localSheetId="2">'Table A2'!$A$1:$C$46</definedName>
    <definedName name="_xlnm.Print_Area" localSheetId="3">'Table A3'!$A$1:$C$58</definedName>
    <definedName name="_xlnm.Print_Area" localSheetId="5">'Table A5'!$A$1:$H$1</definedName>
    <definedName name="_xlnm.Print_Area" localSheetId="6">'Table A6'!$A$1:$H$26</definedName>
    <definedName name="_xlnm.Print_Area" localSheetId="7">'Table A7'!$A$1:$I$1</definedName>
    <definedName name="_xlnm.Print_Area" localSheetId="4">'Tables A4.1 and A4.2'!$A$1:$G$1</definedName>
    <definedName name="_xlnm.Print_Area" localSheetId="8">'Tables A8.1 and A8.2'!$A$1:$K$1</definedName>
    <definedName name="_xlnm.Print_Titles" localSheetId="1">'Table A1'!$2:$4</definedName>
    <definedName name="_xlnm.Print_Titles" localSheetId="2">'Table A2'!$3:$4</definedName>
    <definedName name="_xlnm.Print_Titles" localSheetId="3">'Table A3'!$4:$6</definedName>
    <definedName name="Table_A11">'Table A11'!$A$2</definedName>
  </definedNames>
  <calcPr calcId="162913" concurrentCalc="0"/>
  <extLst>
    <ext xmlns:mx="http://schemas.microsoft.com/office/mac/excel/2008/main" uri="{7523E5D3-25F3-A5E0-1632-64F254C22452}">
      <mx:ArchID Flags="2"/>
    </ext>
  </extLst>
</workbook>
</file>

<file path=xl/calcChain.xml><?xml version="1.0" encoding="utf-8"?>
<calcChain xmlns="http://schemas.openxmlformats.org/spreadsheetml/2006/main">
  <c r="I12" i="14" l="1"/>
  <c r="Q53" i="4"/>
  <c r="X8" i="4"/>
  <c r="X9" i="4"/>
  <c r="X10" i="4"/>
  <c r="X11" i="4"/>
  <c r="X12" i="4"/>
  <c r="X13" i="4"/>
  <c r="X14" i="4"/>
  <c r="X15" i="4"/>
  <c r="X16" i="4"/>
  <c r="X18" i="4"/>
  <c r="X19" i="4"/>
  <c r="X20" i="4"/>
  <c r="X21" i="4"/>
  <c r="X22" i="4"/>
  <c r="X23" i="4"/>
  <c r="X24" i="4"/>
  <c r="X25" i="4"/>
  <c r="X27" i="4"/>
  <c r="X28" i="4"/>
  <c r="X29" i="4"/>
  <c r="X30" i="4"/>
  <c r="X31" i="4"/>
  <c r="X32" i="4"/>
  <c r="X33" i="4"/>
  <c r="X35" i="4"/>
  <c r="X36" i="4"/>
  <c r="X37" i="4"/>
  <c r="X38" i="4"/>
  <c r="X39" i="4"/>
  <c r="X41" i="4"/>
  <c r="X42" i="4"/>
  <c r="X43" i="4"/>
  <c r="X45" i="4"/>
  <c r="X47" i="4"/>
  <c r="X49" i="4"/>
  <c r="X50" i="4"/>
  <c r="X52" i="4"/>
  <c r="X7" i="4"/>
  <c r="H53" i="4"/>
  <c r="X53" i="4"/>
  <c r="C11" i="22"/>
  <c r="D11" i="22"/>
  <c r="E11" i="22"/>
  <c r="F11" i="22"/>
  <c r="G11" i="22"/>
  <c r="H11" i="22"/>
  <c r="I11" i="22"/>
  <c r="J11" i="22"/>
  <c r="B11" i="22"/>
  <c r="N11" i="14"/>
  <c r="O11" i="14"/>
  <c r="P11" i="14"/>
  <c r="Q11" i="14"/>
  <c r="R11" i="14"/>
  <c r="S11" i="14"/>
  <c r="T11" i="14"/>
  <c r="U11" i="14"/>
  <c r="V11" i="14"/>
  <c r="W11" i="14"/>
  <c r="X11" i="14"/>
  <c r="Y11" i="14"/>
  <c r="Z11" i="14"/>
  <c r="AA11" i="14"/>
  <c r="AB11" i="14"/>
  <c r="C11" i="14"/>
  <c r="D11" i="14"/>
  <c r="E11" i="14"/>
  <c r="F11" i="14"/>
  <c r="G11" i="14"/>
  <c r="H11" i="14"/>
  <c r="I11" i="14"/>
  <c r="J11" i="14"/>
  <c r="K11" i="14"/>
  <c r="L11" i="14"/>
  <c r="M11" i="14"/>
  <c r="B11" i="14"/>
  <c r="D5" i="7"/>
  <c r="F5" i="7"/>
  <c r="I5" i="7"/>
  <c r="K5" i="7"/>
  <c r="N5" i="7"/>
  <c r="P5" i="7"/>
  <c r="D6" i="7"/>
  <c r="F6" i="7"/>
  <c r="I6" i="7"/>
  <c r="K6" i="7"/>
  <c r="N6" i="7"/>
  <c r="P6" i="7"/>
  <c r="D7" i="7"/>
  <c r="F7" i="7"/>
  <c r="I7" i="7"/>
  <c r="K7" i="7"/>
  <c r="N7" i="7"/>
  <c r="P7" i="7"/>
  <c r="D8" i="7"/>
  <c r="F8" i="7"/>
  <c r="I8" i="7"/>
  <c r="K8" i="7"/>
  <c r="N8" i="7"/>
  <c r="P8" i="7"/>
  <c r="D9" i="7"/>
  <c r="F9" i="7"/>
  <c r="I9" i="7"/>
  <c r="K9" i="7"/>
  <c r="N9" i="7"/>
  <c r="P9" i="7"/>
  <c r="D10" i="7"/>
  <c r="F10" i="7"/>
  <c r="I10" i="7"/>
  <c r="K10" i="7"/>
  <c r="N10" i="7"/>
  <c r="P10" i="7"/>
  <c r="D11" i="7"/>
  <c r="F11" i="7"/>
  <c r="I11" i="7"/>
  <c r="K11" i="7"/>
  <c r="N11" i="7"/>
  <c r="P11" i="7"/>
  <c r="D12" i="7"/>
  <c r="F12" i="7"/>
  <c r="I12" i="7"/>
  <c r="K12" i="7"/>
  <c r="N12" i="7"/>
  <c r="P12" i="7"/>
  <c r="D13" i="7"/>
  <c r="F13" i="7"/>
  <c r="I13" i="7"/>
  <c r="K13" i="7"/>
  <c r="N13" i="7"/>
  <c r="P13" i="7"/>
  <c r="D14" i="7"/>
  <c r="F14" i="7"/>
  <c r="I14" i="7"/>
  <c r="K14" i="7"/>
  <c r="N14" i="7"/>
  <c r="P14" i="7"/>
  <c r="D15" i="7"/>
  <c r="F15" i="7"/>
  <c r="I15" i="7"/>
  <c r="K15" i="7"/>
  <c r="N15" i="7"/>
  <c r="P15" i="7"/>
  <c r="D16" i="7"/>
  <c r="F16" i="7"/>
  <c r="I16" i="7"/>
  <c r="K16" i="7"/>
  <c r="N16" i="7"/>
  <c r="P16" i="7"/>
  <c r="D17" i="7"/>
  <c r="F17" i="7"/>
  <c r="I17" i="7"/>
  <c r="K17" i="7"/>
  <c r="N17" i="7"/>
  <c r="P17" i="7"/>
  <c r="D18" i="7"/>
  <c r="F18" i="7"/>
  <c r="I18" i="7"/>
  <c r="K18" i="7"/>
  <c r="N18" i="7"/>
  <c r="P18" i="7"/>
  <c r="D19" i="7"/>
  <c r="F19" i="7"/>
  <c r="I19" i="7"/>
  <c r="K19" i="7"/>
  <c r="N19" i="7"/>
  <c r="P19" i="7"/>
  <c r="D20" i="7"/>
  <c r="F20" i="7"/>
  <c r="I20" i="7"/>
  <c r="K20" i="7"/>
  <c r="N20" i="7"/>
  <c r="P20" i="7"/>
  <c r="Q29" i="19"/>
  <c r="Q30" i="19"/>
  <c r="Q31" i="19"/>
  <c r="Q32" i="19"/>
  <c r="Q33" i="19"/>
  <c r="Q34" i="19"/>
  <c r="Q35" i="19"/>
  <c r="Q36" i="19"/>
  <c r="Q37" i="19"/>
  <c r="Q38" i="19"/>
  <c r="Q39" i="19"/>
  <c r="Q40" i="19"/>
  <c r="Q41" i="19"/>
  <c r="Q42" i="19"/>
  <c r="Q43" i="19"/>
  <c r="Q28" i="19"/>
  <c r="I29" i="19"/>
  <c r="I30" i="19"/>
  <c r="I31" i="19"/>
  <c r="I32" i="19"/>
  <c r="I33" i="19"/>
  <c r="I34" i="19"/>
  <c r="I35" i="19"/>
  <c r="I36" i="19"/>
  <c r="I37" i="19"/>
  <c r="I38" i="19"/>
  <c r="I39" i="19"/>
  <c r="I40" i="19"/>
  <c r="I41" i="19"/>
  <c r="I42" i="19"/>
  <c r="I43" i="19"/>
  <c r="I28" i="19"/>
  <c r="B21" i="19"/>
  <c r="B34" i="9"/>
  <c r="C34" i="9"/>
  <c r="D34" i="9"/>
  <c r="E34" i="9"/>
  <c r="F34" i="9"/>
  <c r="G34" i="9"/>
  <c r="H34" i="9"/>
  <c r="B8" i="9"/>
  <c r="C8" i="9"/>
  <c r="D8" i="9"/>
  <c r="E8" i="9"/>
  <c r="F8" i="9"/>
  <c r="G8" i="9"/>
  <c r="H8" i="9"/>
  <c r="B10" i="9"/>
  <c r="C10" i="9"/>
  <c r="D10" i="9"/>
  <c r="E10" i="9"/>
  <c r="F10" i="9"/>
  <c r="G10" i="9"/>
  <c r="H10" i="9"/>
  <c r="B14" i="9"/>
  <c r="C14" i="9"/>
  <c r="D14" i="9"/>
  <c r="E14" i="9"/>
  <c r="F14" i="9"/>
  <c r="G14" i="9"/>
  <c r="H14" i="9"/>
  <c r="B16" i="9"/>
  <c r="C16" i="9"/>
  <c r="D16" i="9"/>
  <c r="E16" i="9"/>
  <c r="F16" i="9"/>
  <c r="G16" i="9"/>
  <c r="H16" i="9"/>
  <c r="B20" i="9"/>
  <c r="C20" i="9"/>
  <c r="D20" i="9"/>
  <c r="E20" i="9"/>
  <c r="F20" i="9"/>
  <c r="G20" i="9"/>
  <c r="H20" i="9"/>
  <c r="B22" i="9"/>
  <c r="C22" i="9"/>
  <c r="D22" i="9"/>
  <c r="E22" i="9"/>
  <c r="F22" i="9"/>
  <c r="G22" i="9"/>
  <c r="H22" i="9"/>
  <c r="B26" i="9"/>
  <c r="C26" i="9"/>
  <c r="D26" i="9"/>
  <c r="E26" i="9"/>
  <c r="F26" i="9"/>
  <c r="G26" i="9"/>
  <c r="H26" i="9"/>
  <c r="B28" i="9"/>
  <c r="C28" i="9"/>
  <c r="D28" i="9"/>
  <c r="E28" i="9"/>
  <c r="F28" i="9"/>
  <c r="G28" i="9"/>
  <c r="H28" i="9"/>
  <c r="B32" i="9"/>
  <c r="C32" i="9"/>
  <c r="D32" i="9"/>
  <c r="E32" i="9"/>
  <c r="F32" i="9"/>
  <c r="G32" i="9"/>
  <c r="H32" i="9"/>
  <c r="B38" i="9"/>
  <c r="C38" i="9"/>
  <c r="D38" i="9"/>
  <c r="E38" i="9"/>
  <c r="F38" i="9"/>
  <c r="G38" i="9"/>
  <c r="H38" i="9"/>
  <c r="B40" i="9"/>
  <c r="C40" i="9"/>
  <c r="D40" i="9"/>
  <c r="E40" i="9"/>
  <c r="F40" i="9"/>
  <c r="G40" i="9"/>
  <c r="H40" i="9"/>
  <c r="B44" i="9"/>
  <c r="C44" i="9"/>
  <c r="D44" i="9"/>
  <c r="E44" i="9"/>
  <c r="F44" i="9"/>
  <c r="G44" i="9"/>
  <c r="H44" i="9"/>
  <c r="B46" i="9"/>
  <c r="C46" i="9"/>
  <c r="D46" i="9"/>
  <c r="E46" i="9"/>
  <c r="F46" i="9"/>
  <c r="G46" i="9"/>
  <c r="H46" i="9"/>
  <c r="B50" i="9"/>
  <c r="C50" i="9"/>
  <c r="D50" i="9"/>
  <c r="E50" i="9"/>
  <c r="F50" i="9"/>
  <c r="G50" i="9"/>
  <c r="H50" i="9"/>
  <c r="B52" i="9"/>
  <c r="C52" i="9"/>
  <c r="D52" i="9"/>
  <c r="E52" i="9"/>
  <c r="F52" i="9"/>
  <c r="G52" i="9"/>
  <c r="H52" i="9"/>
  <c r="B56" i="9"/>
  <c r="C56" i="9"/>
  <c r="D56" i="9"/>
  <c r="E56" i="9"/>
  <c r="F56" i="9"/>
  <c r="G56" i="9"/>
  <c r="H56" i="9"/>
  <c r="B58" i="9"/>
  <c r="C58" i="9"/>
  <c r="D58" i="9"/>
  <c r="E58" i="9"/>
  <c r="F58" i="9"/>
  <c r="G58" i="9"/>
  <c r="H58" i="9"/>
  <c r="H75" i="8"/>
  <c r="H74" i="8"/>
  <c r="H73" i="8"/>
  <c r="H71" i="8"/>
  <c r="H67" i="8"/>
  <c r="H66" i="8"/>
  <c r="H65" i="8"/>
  <c r="H63" i="8"/>
  <c r="H59" i="8"/>
  <c r="H58" i="8"/>
  <c r="H57" i="8"/>
  <c r="H55" i="8"/>
  <c r="H51" i="8"/>
  <c r="H50" i="8"/>
  <c r="H49" i="8"/>
  <c r="H47" i="8"/>
  <c r="H43" i="8"/>
  <c r="H42" i="8"/>
  <c r="H41" i="8"/>
  <c r="H39" i="8"/>
  <c r="H35" i="8"/>
  <c r="H34" i="8"/>
  <c r="H33" i="8"/>
  <c r="H31" i="8"/>
  <c r="H27" i="8"/>
  <c r="H26" i="8"/>
  <c r="H25" i="8"/>
  <c r="H23" i="8"/>
  <c r="H19" i="8"/>
  <c r="H18" i="8"/>
  <c r="H17" i="8"/>
  <c r="H15" i="8"/>
  <c r="H11" i="8"/>
  <c r="H10" i="8"/>
  <c r="H9" i="8"/>
  <c r="H7" i="8"/>
  <c r="R8" i="4"/>
  <c r="S8" i="4"/>
  <c r="T8" i="4"/>
  <c r="U8" i="4"/>
  <c r="V8" i="4"/>
  <c r="W8" i="4"/>
  <c r="Y8" i="4"/>
  <c r="R9" i="4"/>
  <c r="S9" i="4"/>
  <c r="T9" i="4"/>
  <c r="U9" i="4"/>
  <c r="V9" i="4"/>
  <c r="W9" i="4"/>
  <c r="Y9" i="4"/>
  <c r="R10" i="4"/>
  <c r="S10" i="4"/>
  <c r="T10" i="4"/>
  <c r="U10" i="4"/>
  <c r="V10" i="4"/>
  <c r="W10" i="4"/>
  <c r="Y10" i="4"/>
  <c r="R11" i="4"/>
  <c r="S11" i="4"/>
  <c r="T11" i="4"/>
  <c r="U11" i="4"/>
  <c r="V11" i="4"/>
  <c r="W11" i="4"/>
  <c r="Y11" i="4"/>
  <c r="R12" i="4"/>
  <c r="S12" i="4"/>
  <c r="T12" i="4"/>
  <c r="U12" i="4"/>
  <c r="V12" i="4"/>
  <c r="W12" i="4"/>
  <c r="Y12" i="4"/>
  <c r="R13" i="4"/>
  <c r="S13" i="4"/>
  <c r="T13" i="4"/>
  <c r="U13" i="4"/>
  <c r="V13" i="4"/>
  <c r="W13" i="4"/>
  <c r="Y13" i="4"/>
  <c r="R14" i="4"/>
  <c r="S14" i="4"/>
  <c r="T14" i="4"/>
  <c r="U14" i="4"/>
  <c r="V14" i="4"/>
  <c r="W14" i="4"/>
  <c r="Y14" i="4"/>
  <c r="R15" i="4"/>
  <c r="S15" i="4"/>
  <c r="T15" i="4"/>
  <c r="U15" i="4"/>
  <c r="V15" i="4"/>
  <c r="W15" i="4"/>
  <c r="Y15" i="4"/>
  <c r="R16" i="4"/>
  <c r="S16" i="4"/>
  <c r="T16" i="4"/>
  <c r="U16" i="4"/>
  <c r="V16" i="4"/>
  <c r="W16" i="4"/>
  <c r="Y16" i="4"/>
  <c r="Y7" i="4"/>
  <c r="W7" i="4"/>
  <c r="V7" i="4"/>
  <c r="U7" i="4"/>
  <c r="T7" i="4"/>
  <c r="S7" i="4"/>
  <c r="R7" i="4"/>
  <c r="Y52" i="4"/>
  <c r="W52" i="4"/>
  <c r="V52" i="4"/>
  <c r="U52" i="4"/>
  <c r="T52" i="4"/>
  <c r="S52" i="4"/>
  <c r="R52" i="4"/>
  <c r="Y50" i="4"/>
  <c r="W50" i="4"/>
  <c r="V50" i="4"/>
  <c r="U50" i="4"/>
  <c r="T50" i="4"/>
  <c r="S50" i="4"/>
  <c r="R50" i="4"/>
  <c r="Y49" i="4"/>
  <c r="W49" i="4"/>
  <c r="V49" i="4"/>
  <c r="U49" i="4"/>
  <c r="T49" i="4"/>
  <c r="S49" i="4"/>
  <c r="R49" i="4"/>
  <c r="Y47" i="4"/>
  <c r="W47" i="4"/>
  <c r="V47" i="4"/>
  <c r="U47" i="4"/>
  <c r="T47" i="4"/>
  <c r="S47" i="4"/>
  <c r="R47" i="4"/>
  <c r="Y45" i="4"/>
  <c r="W45" i="4"/>
  <c r="V45" i="4"/>
  <c r="U45" i="4"/>
  <c r="T45" i="4"/>
  <c r="S45" i="4"/>
  <c r="R45" i="4"/>
  <c r="Y43" i="4"/>
  <c r="W43" i="4"/>
  <c r="V43" i="4"/>
  <c r="U43" i="4"/>
  <c r="T43" i="4"/>
  <c r="S43" i="4"/>
  <c r="R43" i="4"/>
  <c r="Y42" i="4"/>
  <c r="W42" i="4"/>
  <c r="V42" i="4"/>
  <c r="U42" i="4"/>
  <c r="T42" i="4"/>
  <c r="S42" i="4"/>
  <c r="R42" i="4"/>
  <c r="Y41" i="4"/>
  <c r="W41" i="4"/>
  <c r="V41" i="4"/>
  <c r="U41" i="4"/>
  <c r="T41" i="4"/>
  <c r="S41" i="4"/>
  <c r="R41" i="4"/>
  <c r="R36" i="4"/>
  <c r="S36" i="4"/>
  <c r="T36" i="4"/>
  <c r="U36" i="4"/>
  <c r="V36" i="4"/>
  <c r="W36" i="4"/>
  <c r="Y36" i="4"/>
  <c r="R37" i="4"/>
  <c r="S37" i="4"/>
  <c r="T37" i="4"/>
  <c r="U37" i="4"/>
  <c r="V37" i="4"/>
  <c r="W37" i="4"/>
  <c r="Y37" i="4"/>
  <c r="R38" i="4"/>
  <c r="S38" i="4"/>
  <c r="T38" i="4"/>
  <c r="U38" i="4"/>
  <c r="V38" i="4"/>
  <c r="W38" i="4"/>
  <c r="Y38" i="4"/>
  <c r="R39" i="4"/>
  <c r="S39" i="4"/>
  <c r="T39" i="4"/>
  <c r="U39" i="4"/>
  <c r="V39" i="4"/>
  <c r="W39" i="4"/>
  <c r="Y39" i="4"/>
  <c r="Y35" i="4"/>
  <c r="W35" i="4"/>
  <c r="V35" i="4"/>
  <c r="U35" i="4"/>
  <c r="T35" i="4"/>
  <c r="S35" i="4"/>
  <c r="R35" i="4"/>
  <c r="Y33" i="4"/>
  <c r="W33" i="4"/>
  <c r="V33" i="4"/>
  <c r="U33" i="4"/>
  <c r="T33" i="4"/>
  <c r="S33" i="4"/>
  <c r="R33" i="4"/>
  <c r="Y32" i="4"/>
  <c r="W32" i="4"/>
  <c r="V32" i="4"/>
  <c r="U32" i="4"/>
  <c r="T32" i="4"/>
  <c r="S32" i="4"/>
  <c r="R32" i="4"/>
  <c r="Y31" i="4"/>
  <c r="W31" i="4"/>
  <c r="V31" i="4"/>
  <c r="U31" i="4"/>
  <c r="T31" i="4"/>
  <c r="S31" i="4"/>
  <c r="R31" i="4"/>
  <c r="Y30" i="4"/>
  <c r="W30" i="4"/>
  <c r="V30" i="4"/>
  <c r="U30" i="4"/>
  <c r="T30" i="4"/>
  <c r="S30" i="4"/>
  <c r="R30" i="4"/>
  <c r="Y29" i="4"/>
  <c r="W29" i="4"/>
  <c r="V29" i="4"/>
  <c r="U29" i="4"/>
  <c r="T29" i="4"/>
  <c r="S29" i="4"/>
  <c r="R29" i="4"/>
  <c r="Y28" i="4"/>
  <c r="W28" i="4"/>
  <c r="V28" i="4"/>
  <c r="U28" i="4"/>
  <c r="T28" i="4"/>
  <c r="S28" i="4"/>
  <c r="R28" i="4"/>
  <c r="Y27" i="4"/>
  <c r="W27" i="4"/>
  <c r="V27" i="4"/>
  <c r="U27" i="4"/>
  <c r="T27" i="4"/>
  <c r="S27" i="4"/>
  <c r="R27" i="4"/>
  <c r="R19" i="4"/>
  <c r="S19" i="4"/>
  <c r="T19" i="4"/>
  <c r="U19" i="4"/>
  <c r="V19" i="4"/>
  <c r="W19" i="4"/>
  <c r="Y19" i="4"/>
  <c r="R20" i="4"/>
  <c r="S20" i="4"/>
  <c r="T20" i="4"/>
  <c r="U20" i="4"/>
  <c r="V20" i="4"/>
  <c r="W20" i="4"/>
  <c r="Y20" i="4"/>
  <c r="R21" i="4"/>
  <c r="S21" i="4"/>
  <c r="T21" i="4"/>
  <c r="U21" i="4"/>
  <c r="V21" i="4"/>
  <c r="W21" i="4"/>
  <c r="Y21" i="4"/>
  <c r="R22" i="4"/>
  <c r="S22" i="4"/>
  <c r="T22" i="4"/>
  <c r="U22" i="4"/>
  <c r="V22" i="4"/>
  <c r="W22" i="4"/>
  <c r="Y22" i="4"/>
  <c r="R23" i="4"/>
  <c r="S23" i="4"/>
  <c r="T23" i="4"/>
  <c r="U23" i="4"/>
  <c r="V23" i="4"/>
  <c r="W23" i="4"/>
  <c r="Y23" i="4"/>
  <c r="R24" i="4"/>
  <c r="S24" i="4"/>
  <c r="T24" i="4"/>
  <c r="U24" i="4"/>
  <c r="V24" i="4"/>
  <c r="W24" i="4"/>
  <c r="Y24" i="4"/>
  <c r="R25" i="4"/>
  <c r="S25" i="4"/>
  <c r="T25" i="4"/>
  <c r="U25" i="4"/>
  <c r="V25" i="4"/>
  <c r="W25" i="4"/>
  <c r="Y25" i="4"/>
  <c r="S18" i="4"/>
  <c r="T18" i="4"/>
  <c r="U18" i="4"/>
  <c r="V18" i="4"/>
  <c r="W18" i="4"/>
  <c r="Y18" i="4"/>
  <c r="R18" i="4"/>
  <c r="I53" i="4"/>
  <c r="Y53" i="4"/>
  <c r="G53" i="4"/>
  <c r="W53" i="4"/>
  <c r="F53" i="4"/>
  <c r="V53" i="4"/>
  <c r="E53" i="4"/>
  <c r="U53" i="4"/>
  <c r="D53" i="4"/>
  <c r="T53" i="4"/>
  <c r="C53" i="4"/>
  <c r="S53" i="4"/>
  <c r="B53" i="4"/>
  <c r="R53" i="4"/>
  <c r="L17" i="14"/>
  <c r="M17" i="14"/>
  <c r="N17" i="14"/>
  <c r="O17" i="14"/>
  <c r="P17" i="14"/>
  <c r="Q17" i="14"/>
  <c r="R17" i="14"/>
  <c r="S17" i="14"/>
  <c r="L18" i="14"/>
  <c r="M18" i="14"/>
  <c r="N18" i="14"/>
  <c r="O18" i="14"/>
  <c r="P18" i="14"/>
  <c r="Q18" i="14"/>
  <c r="R18" i="14"/>
  <c r="S18" i="14"/>
  <c r="L19" i="14"/>
  <c r="M19" i="14"/>
  <c r="N19" i="14"/>
  <c r="O19" i="14"/>
  <c r="P19" i="14"/>
  <c r="Q19" i="14"/>
  <c r="R19" i="14"/>
  <c r="S19" i="14"/>
  <c r="L20" i="14"/>
  <c r="M20" i="14"/>
  <c r="N20" i="14"/>
  <c r="O20" i="14"/>
  <c r="P20" i="14"/>
  <c r="Q20" i="14"/>
  <c r="R20" i="14"/>
  <c r="S20" i="14"/>
  <c r="L21" i="14"/>
  <c r="M21" i="14"/>
  <c r="N21" i="14"/>
  <c r="O21" i="14"/>
  <c r="P21" i="14"/>
  <c r="Q21" i="14"/>
  <c r="R21" i="14"/>
  <c r="S21" i="14"/>
  <c r="L22" i="14"/>
  <c r="M22" i="14"/>
  <c r="N22" i="14"/>
  <c r="O22" i="14"/>
  <c r="P22" i="14"/>
  <c r="Q22" i="14"/>
  <c r="R22" i="14"/>
  <c r="S22" i="14"/>
  <c r="L23" i="14"/>
  <c r="M23" i="14"/>
  <c r="N23" i="14"/>
  <c r="O23" i="14"/>
  <c r="P23" i="14"/>
  <c r="Q23" i="14"/>
  <c r="R23" i="14"/>
  <c r="S23" i="14"/>
  <c r="K18" i="14"/>
  <c r="K19" i="14"/>
  <c r="K20" i="14"/>
  <c r="K21" i="14"/>
  <c r="K22" i="14"/>
  <c r="K23" i="14"/>
  <c r="K17" i="14"/>
  <c r="C17" i="14"/>
  <c r="D17" i="14"/>
  <c r="E17" i="14"/>
  <c r="F17" i="14"/>
  <c r="G17" i="14"/>
  <c r="H17" i="14"/>
  <c r="I17" i="14"/>
  <c r="J17" i="14"/>
  <c r="C18" i="14"/>
  <c r="D18" i="14"/>
  <c r="E18" i="14"/>
  <c r="F18" i="14"/>
  <c r="G18" i="14"/>
  <c r="H18" i="14"/>
  <c r="I18" i="14"/>
  <c r="J18" i="14"/>
  <c r="C19" i="14"/>
  <c r="D19" i="14"/>
  <c r="E19" i="14"/>
  <c r="F19" i="14"/>
  <c r="G19" i="14"/>
  <c r="H19" i="14"/>
  <c r="I19" i="14"/>
  <c r="J19" i="14"/>
  <c r="C20" i="14"/>
  <c r="D20" i="14"/>
  <c r="E20" i="14"/>
  <c r="F20" i="14"/>
  <c r="G20" i="14"/>
  <c r="H20" i="14"/>
  <c r="I20" i="14"/>
  <c r="J20" i="14"/>
  <c r="C21" i="14"/>
  <c r="D21" i="14"/>
  <c r="E21" i="14"/>
  <c r="F21" i="14"/>
  <c r="G21" i="14"/>
  <c r="H21" i="14"/>
  <c r="I21" i="14"/>
  <c r="J21" i="14"/>
  <c r="C22" i="14"/>
  <c r="D22" i="14"/>
  <c r="E22" i="14"/>
  <c r="F22" i="14"/>
  <c r="G22" i="14"/>
  <c r="H22" i="14"/>
  <c r="I22" i="14"/>
  <c r="J22" i="14"/>
  <c r="C23" i="14"/>
  <c r="D23" i="14"/>
  <c r="E23" i="14"/>
  <c r="F23" i="14"/>
  <c r="G23" i="14"/>
  <c r="H23" i="14"/>
  <c r="I23" i="14"/>
  <c r="J23" i="14"/>
  <c r="B18" i="14"/>
  <c r="B19" i="14"/>
  <c r="B20" i="14"/>
  <c r="B21" i="14"/>
  <c r="B22" i="14"/>
  <c r="B23" i="14"/>
  <c r="K20" i="13"/>
  <c r="K19" i="13"/>
  <c r="K18" i="13"/>
  <c r="K17" i="13"/>
  <c r="K16" i="13"/>
  <c r="K15" i="13"/>
  <c r="K14" i="13"/>
  <c r="K13" i="13"/>
  <c r="K12" i="13"/>
  <c r="K11" i="13"/>
  <c r="K10" i="13"/>
  <c r="K9" i="13"/>
  <c r="K8" i="13"/>
  <c r="K7" i="13"/>
  <c r="K6" i="13"/>
  <c r="K5" i="13"/>
  <c r="F6" i="13"/>
  <c r="F7" i="13"/>
  <c r="F8" i="13"/>
  <c r="F9" i="13"/>
  <c r="F10" i="13"/>
  <c r="F11" i="13"/>
  <c r="F12" i="13"/>
  <c r="F13" i="13"/>
  <c r="F14" i="13"/>
  <c r="F15" i="13"/>
  <c r="F16" i="13"/>
  <c r="F17" i="13"/>
  <c r="F18" i="13"/>
  <c r="F19" i="13"/>
  <c r="F20" i="13"/>
  <c r="F5" i="13"/>
  <c r="I20" i="13"/>
  <c r="I19" i="13"/>
  <c r="I18" i="13"/>
  <c r="I17" i="13"/>
  <c r="I16" i="13"/>
  <c r="I15" i="13"/>
  <c r="I14" i="13"/>
  <c r="I13" i="13"/>
  <c r="I12" i="13"/>
  <c r="I11" i="13"/>
  <c r="I10" i="13"/>
  <c r="I9" i="13"/>
  <c r="I8" i="13"/>
  <c r="I7" i="13"/>
  <c r="I6" i="13"/>
  <c r="I5" i="13"/>
  <c r="D6" i="13"/>
  <c r="D7" i="13"/>
  <c r="D8" i="13"/>
  <c r="D9" i="13"/>
  <c r="D10" i="13"/>
  <c r="D11" i="13"/>
  <c r="D12" i="13"/>
  <c r="D13" i="13"/>
  <c r="D14" i="13"/>
  <c r="D15" i="13"/>
  <c r="D16" i="13"/>
  <c r="D17" i="13"/>
  <c r="D18" i="13"/>
  <c r="D19" i="13"/>
  <c r="D20" i="13"/>
  <c r="D5" i="13"/>
  <c r="K20" i="12"/>
  <c r="K19" i="12"/>
  <c r="K18" i="12"/>
  <c r="K17" i="12"/>
  <c r="K16" i="12"/>
  <c r="K15" i="12"/>
  <c r="K14" i="12"/>
  <c r="K13" i="12"/>
  <c r="K12" i="12"/>
  <c r="K11" i="12"/>
  <c r="K10" i="12"/>
  <c r="K9" i="12"/>
  <c r="K8" i="12"/>
  <c r="K7" i="12"/>
  <c r="K6" i="12"/>
  <c r="K5" i="12"/>
  <c r="F6" i="12"/>
  <c r="F7" i="12"/>
  <c r="F8" i="12"/>
  <c r="F9" i="12"/>
  <c r="F10" i="12"/>
  <c r="F11" i="12"/>
  <c r="F12" i="12"/>
  <c r="F13" i="12"/>
  <c r="F14" i="12"/>
  <c r="F15" i="12"/>
  <c r="F16" i="12"/>
  <c r="F17" i="12"/>
  <c r="F18" i="12"/>
  <c r="F19" i="12"/>
  <c r="F20" i="12"/>
  <c r="F5" i="12"/>
  <c r="I6" i="12"/>
  <c r="I7" i="12"/>
  <c r="I8" i="12"/>
  <c r="I9" i="12"/>
  <c r="I10" i="12"/>
  <c r="I11" i="12"/>
  <c r="I12" i="12"/>
  <c r="I13" i="12"/>
  <c r="I14" i="12"/>
  <c r="I15" i="12"/>
  <c r="I16" i="12"/>
  <c r="I17" i="12"/>
  <c r="I18" i="12"/>
  <c r="I19" i="12"/>
  <c r="I20" i="12"/>
  <c r="I5" i="12"/>
  <c r="D6" i="12"/>
  <c r="D7" i="12"/>
  <c r="D8" i="12"/>
  <c r="D9" i="12"/>
  <c r="D10" i="12"/>
  <c r="D11" i="12"/>
  <c r="D12" i="12"/>
  <c r="D13" i="12"/>
  <c r="D14" i="12"/>
  <c r="D15" i="12"/>
  <c r="D16" i="12"/>
  <c r="D17" i="12"/>
  <c r="D18" i="12"/>
  <c r="D19" i="12"/>
  <c r="D20" i="12"/>
  <c r="D5" i="12"/>
  <c r="K28" i="19"/>
  <c r="L28" i="19"/>
  <c r="M28" i="19"/>
  <c r="N28" i="19"/>
  <c r="O28" i="19"/>
  <c r="P28" i="19"/>
  <c r="K29" i="19"/>
  <c r="L29" i="19"/>
  <c r="M29" i="19"/>
  <c r="N29" i="19"/>
  <c r="O29" i="19"/>
  <c r="P29" i="19"/>
  <c r="K30" i="19"/>
  <c r="L30" i="19"/>
  <c r="M30" i="19"/>
  <c r="N30" i="19"/>
  <c r="O30" i="19"/>
  <c r="P30" i="19"/>
  <c r="K31" i="19"/>
  <c r="L31" i="19"/>
  <c r="M31" i="19"/>
  <c r="N31" i="19"/>
  <c r="O31" i="19"/>
  <c r="P31" i="19"/>
  <c r="K32" i="19"/>
  <c r="L32" i="19"/>
  <c r="M32" i="19"/>
  <c r="N32" i="19"/>
  <c r="O32" i="19"/>
  <c r="P32" i="19"/>
  <c r="K33" i="19"/>
  <c r="L33" i="19"/>
  <c r="M33" i="19"/>
  <c r="N33" i="19"/>
  <c r="O33" i="19"/>
  <c r="P33" i="19"/>
  <c r="K34" i="19"/>
  <c r="L34" i="19"/>
  <c r="M34" i="19"/>
  <c r="N34" i="19"/>
  <c r="O34" i="19"/>
  <c r="P34" i="19"/>
  <c r="K35" i="19"/>
  <c r="L35" i="19"/>
  <c r="M35" i="19"/>
  <c r="N35" i="19"/>
  <c r="O35" i="19"/>
  <c r="P35" i="19"/>
  <c r="K36" i="19"/>
  <c r="L36" i="19"/>
  <c r="M36" i="19"/>
  <c r="N36" i="19"/>
  <c r="O36" i="19"/>
  <c r="P36" i="19"/>
  <c r="K37" i="19"/>
  <c r="L37" i="19"/>
  <c r="M37" i="19"/>
  <c r="N37" i="19"/>
  <c r="O37" i="19"/>
  <c r="P37" i="19"/>
  <c r="K38" i="19"/>
  <c r="L38" i="19"/>
  <c r="M38" i="19"/>
  <c r="N38" i="19"/>
  <c r="O38" i="19"/>
  <c r="P38" i="19"/>
  <c r="K39" i="19"/>
  <c r="L39" i="19"/>
  <c r="M39" i="19"/>
  <c r="N39" i="19"/>
  <c r="O39" i="19"/>
  <c r="P39" i="19"/>
  <c r="K40" i="19"/>
  <c r="L40" i="19"/>
  <c r="M40" i="19"/>
  <c r="N40" i="19"/>
  <c r="O40" i="19"/>
  <c r="P40" i="19"/>
  <c r="K41" i="19"/>
  <c r="L41" i="19"/>
  <c r="M41" i="19"/>
  <c r="N41" i="19"/>
  <c r="O41" i="19"/>
  <c r="P41" i="19"/>
  <c r="K42" i="19"/>
  <c r="L42" i="19"/>
  <c r="M42" i="19"/>
  <c r="N42" i="19"/>
  <c r="O42" i="19"/>
  <c r="P42" i="19"/>
  <c r="K43" i="19"/>
  <c r="L43" i="19"/>
  <c r="M43" i="19"/>
  <c r="N43" i="19"/>
  <c r="O43" i="19"/>
  <c r="P43" i="19"/>
  <c r="J29" i="19"/>
  <c r="J30" i="19"/>
  <c r="J31" i="19"/>
  <c r="J32" i="19"/>
  <c r="J33" i="19"/>
  <c r="J34" i="19"/>
  <c r="J35" i="19"/>
  <c r="J36" i="19"/>
  <c r="J37" i="19"/>
  <c r="J38" i="19"/>
  <c r="J39" i="19"/>
  <c r="J40" i="19"/>
  <c r="J41" i="19"/>
  <c r="J42" i="19"/>
  <c r="J43" i="19"/>
  <c r="J28" i="19"/>
  <c r="F34" i="19"/>
  <c r="F35" i="19"/>
  <c r="F36" i="19"/>
  <c r="D35" i="19"/>
  <c r="D36" i="19"/>
  <c r="D37" i="19"/>
  <c r="B29" i="19"/>
  <c r="C29" i="19"/>
  <c r="D29" i="19"/>
  <c r="E29" i="19"/>
  <c r="F29" i="19"/>
  <c r="G29" i="19"/>
  <c r="H29" i="19"/>
  <c r="B30" i="19"/>
  <c r="C30" i="19"/>
  <c r="D30" i="19"/>
  <c r="E30" i="19"/>
  <c r="F30" i="19"/>
  <c r="G30" i="19"/>
  <c r="H30" i="19"/>
  <c r="B31" i="19"/>
  <c r="C31" i="19"/>
  <c r="D31" i="19"/>
  <c r="E31" i="19"/>
  <c r="F31" i="19"/>
  <c r="G31" i="19"/>
  <c r="H31" i="19"/>
  <c r="B32" i="19"/>
  <c r="C32" i="19"/>
  <c r="D32" i="19"/>
  <c r="E32" i="19"/>
  <c r="F32" i="19"/>
  <c r="G32" i="19"/>
  <c r="H32" i="19"/>
  <c r="B33" i="19"/>
  <c r="C33" i="19"/>
  <c r="D33" i="19"/>
  <c r="E33" i="19"/>
  <c r="F33" i="19"/>
  <c r="G33" i="19"/>
  <c r="H33" i="19"/>
  <c r="B34" i="19"/>
  <c r="C34" i="19"/>
  <c r="D34" i="19"/>
  <c r="E34" i="19"/>
  <c r="G34" i="19"/>
  <c r="H34" i="19"/>
  <c r="B35" i="19"/>
  <c r="C35" i="19"/>
  <c r="E35" i="19"/>
  <c r="G35" i="19"/>
  <c r="H35" i="19"/>
  <c r="B36" i="19"/>
  <c r="C36" i="19"/>
  <c r="E36" i="19"/>
  <c r="G36" i="19"/>
  <c r="H36" i="19"/>
  <c r="B37" i="19"/>
  <c r="C37" i="19"/>
  <c r="E37" i="19"/>
  <c r="F37" i="19"/>
  <c r="G37" i="19"/>
  <c r="H37" i="19"/>
  <c r="B38" i="19"/>
  <c r="C38" i="19"/>
  <c r="D38" i="19"/>
  <c r="E38" i="19"/>
  <c r="F38" i="19"/>
  <c r="G38" i="19"/>
  <c r="H38" i="19"/>
  <c r="B39" i="19"/>
  <c r="C39" i="19"/>
  <c r="D39" i="19"/>
  <c r="E39" i="19"/>
  <c r="F39" i="19"/>
  <c r="G39" i="19"/>
  <c r="H39" i="19"/>
  <c r="B40" i="19"/>
  <c r="C40" i="19"/>
  <c r="D40" i="19"/>
  <c r="E40" i="19"/>
  <c r="F40" i="19"/>
  <c r="G40" i="19"/>
  <c r="H40" i="19"/>
  <c r="B41" i="19"/>
  <c r="C41" i="19"/>
  <c r="D41" i="19"/>
  <c r="E41" i="19"/>
  <c r="F41" i="19"/>
  <c r="G41" i="19"/>
  <c r="H41" i="19"/>
  <c r="B42" i="19"/>
  <c r="C42" i="19"/>
  <c r="D42" i="19"/>
  <c r="E42" i="19"/>
  <c r="F42" i="19"/>
  <c r="G42" i="19"/>
  <c r="H42" i="19"/>
  <c r="B43" i="19"/>
  <c r="C43" i="19"/>
  <c r="D43" i="19"/>
  <c r="E43" i="19"/>
  <c r="F43" i="19"/>
  <c r="G43" i="19"/>
  <c r="H43" i="19"/>
  <c r="C28" i="19"/>
  <c r="D28" i="19"/>
  <c r="E28" i="19"/>
  <c r="F28" i="19"/>
  <c r="G28" i="19"/>
  <c r="H28" i="19"/>
  <c r="B28" i="19"/>
  <c r="K44" i="10"/>
  <c r="J44" i="10"/>
  <c r="I44" i="10"/>
  <c r="H44" i="10"/>
  <c r="G44" i="10"/>
  <c r="F44" i="10"/>
  <c r="E44" i="10"/>
  <c r="D44" i="10"/>
  <c r="C44" i="10"/>
  <c r="B44" i="10"/>
  <c r="K32" i="10"/>
  <c r="J32" i="10"/>
  <c r="I32" i="10"/>
  <c r="H32" i="10"/>
  <c r="G32" i="10"/>
  <c r="F32" i="10"/>
  <c r="E32" i="10"/>
  <c r="D32" i="10"/>
  <c r="C32" i="10"/>
  <c r="B32" i="10"/>
  <c r="K22" i="10"/>
  <c r="J22" i="10"/>
  <c r="I22" i="10"/>
  <c r="H22" i="10"/>
  <c r="G22" i="10"/>
  <c r="F22" i="10"/>
  <c r="E22" i="10"/>
  <c r="D22" i="10"/>
  <c r="C22" i="10"/>
  <c r="B22" i="10"/>
  <c r="K58" i="10"/>
  <c r="J58" i="10"/>
  <c r="I58" i="10"/>
  <c r="H58" i="10"/>
  <c r="G58" i="10"/>
  <c r="F58" i="10"/>
  <c r="E58" i="10"/>
  <c r="D58" i="10"/>
  <c r="C58" i="10"/>
  <c r="B58" i="10"/>
  <c r="K52" i="10"/>
  <c r="J52" i="10"/>
  <c r="I52" i="10"/>
  <c r="H52" i="10"/>
  <c r="G52" i="10"/>
  <c r="F52" i="10"/>
  <c r="E52" i="10"/>
  <c r="D52" i="10"/>
  <c r="C52" i="10"/>
  <c r="B52" i="10"/>
  <c r="K46" i="10"/>
  <c r="J46" i="10"/>
  <c r="I46" i="10"/>
  <c r="H46" i="10"/>
  <c r="G46" i="10"/>
  <c r="F46" i="10"/>
  <c r="E46" i="10"/>
  <c r="D46" i="10"/>
  <c r="C46" i="10"/>
  <c r="B46" i="10"/>
  <c r="K40" i="10"/>
  <c r="J40" i="10"/>
  <c r="I40" i="10"/>
  <c r="H40" i="10"/>
  <c r="G40" i="10"/>
  <c r="F40" i="10"/>
  <c r="E40" i="10"/>
  <c r="D40" i="10"/>
  <c r="C40" i="10"/>
  <c r="B40" i="10"/>
  <c r="K34" i="10"/>
  <c r="J34" i="10"/>
  <c r="I34" i="10"/>
  <c r="H34" i="10"/>
  <c r="G34" i="10"/>
  <c r="F34" i="10"/>
  <c r="E34" i="10"/>
  <c r="D34" i="10"/>
  <c r="C34" i="10"/>
  <c r="B34" i="10"/>
  <c r="K28" i="10"/>
  <c r="J28" i="10"/>
  <c r="I28" i="10"/>
  <c r="H28" i="10"/>
  <c r="G28" i="10"/>
  <c r="F28" i="10"/>
  <c r="E28" i="10"/>
  <c r="D28" i="10"/>
  <c r="C28" i="10"/>
  <c r="B28" i="10"/>
  <c r="K16" i="10"/>
  <c r="J16" i="10"/>
  <c r="I16" i="10"/>
  <c r="H16" i="10"/>
  <c r="G16" i="10"/>
  <c r="F16" i="10"/>
  <c r="E16" i="10"/>
  <c r="D16" i="10"/>
  <c r="C16" i="10"/>
  <c r="B16" i="10"/>
  <c r="F10" i="10"/>
  <c r="G10" i="10"/>
  <c r="H10" i="10"/>
  <c r="I10" i="10"/>
  <c r="J10" i="10"/>
  <c r="K10" i="10"/>
  <c r="C10" i="10"/>
  <c r="D10" i="10"/>
  <c r="E10" i="10"/>
  <c r="B10" i="10"/>
  <c r="H56" i="10"/>
  <c r="I56" i="10"/>
  <c r="J56" i="10"/>
  <c r="K56" i="10"/>
  <c r="G56" i="10"/>
  <c r="F56" i="10"/>
  <c r="E56" i="10"/>
  <c r="D56" i="10"/>
  <c r="C56" i="10"/>
  <c r="B56" i="10"/>
  <c r="K50" i="10"/>
  <c r="J50" i="10"/>
  <c r="I50" i="10"/>
  <c r="H50" i="10"/>
  <c r="G50" i="10"/>
  <c r="F50" i="10"/>
  <c r="E50" i="10"/>
  <c r="D50" i="10"/>
  <c r="C50" i="10"/>
  <c r="B50" i="10"/>
  <c r="K38" i="10"/>
  <c r="J38" i="10"/>
  <c r="I38" i="10"/>
  <c r="H38" i="10"/>
  <c r="G38" i="10"/>
  <c r="F38" i="10"/>
  <c r="E38" i="10"/>
  <c r="D38" i="10"/>
  <c r="C38" i="10"/>
  <c r="B38" i="10"/>
  <c r="K26" i="10"/>
  <c r="J26" i="10"/>
  <c r="I26" i="10"/>
  <c r="H26" i="10"/>
  <c r="G26" i="10"/>
  <c r="F26" i="10"/>
  <c r="E26" i="10"/>
  <c r="D26" i="10"/>
  <c r="C26" i="10"/>
  <c r="B26" i="10"/>
  <c r="K20" i="10"/>
  <c r="J20" i="10"/>
  <c r="I20" i="10"/>
  <c r="H20" i="10"/>
  <c r="G20" i="10"/>
  <c r="F20" i="10"/>
  <c r="E20" i="10"/>
  <c r="D20" i="10"/>
  <c r="C20" i="10"/>
  <c r="B20" i="10"/>
  <c r="K14" i="10"/>
  <c r="J14" i="10"/>
  <c r="I14" i="10"/>
  <c r="H14" i="10"/>
  <c r="G14" i="10"/>
  <c r="F14" i="10"/>
  <c r="E14" i="10"/>
  <c r="D14" i="10"/>
  <c r="C14" i="10"/>
  <c r="B14" i="10"/>
  <c r="C8" i="10"/>
  <c r="D8" i="10"/>
  <c r="E8" i="10"/>
  <c r="F8" i="10"/>
  <c r="G8" i="10"/>
  <c r="H8" i="10"/>
  <c r="I8" i="10"/>
  <c r="J8" i="10"/>
  <c r="K8" i="10"/>
  <c r="B8" i="10"/>
  <c r="B18" i="22"/>
  <c r="C18" i="22"/>
  <c r="D18" i="22"/>
  <c r="E18" i="22"/>
  <c r="F18" i="22"/>
  <c r="G18" i="22"/>
  <c r="H18" i="22"/>
  <c r="I18" i="22"/>
  <c r="J18" i="22"/>
  <c r="B19" i="22"/>
  <c r="C19" i="22"/>
  <c r="D19" i="22"/>
  <c r="E19" i="22"/>
  <c r="F19" i="22"/>
  <c r="G19" i="22"/>
  <c r="H19" i="22"/>
  <c r="I19" i="22"/>
  <c r="J19" i="22"/>
  <c r="B20" i="22"/>
  <c r="C20" i="22"/>
  <c r="D20" i="22"/>
  <c r="E20" i="22"/>
  <c r="F20" i="22"/>
  <c r="G20" i="22"/>
  <c r="H20" i="22"/>
  <c r="I20" i="22"/>
  <c r="J20" i="22"/>
  <c r="B21" i="22"/>
  <c r="C21" i="22"/>
  <c r="D21" i="22"/>
  <c r="E21" i="22"/>
  <c r="F21" i="22"/>
  <c r="G21" i="22"/>
  <c r="H21" i="22"/>
  <c r="I21" i="22"/>
  <c r="J21" i="22"/>
  <c r="B22" i="22"/>
  <c r="C22" i="22"/>
  <c r="D22" i="22"/>
  <c r="E22" i="22"/>
  <c r="F22" i="22"/>
  <c r="G22" i="22"/>
  <c r="H22" i="22"/>
  <c r="I22" i="22"/>
  <c r="J22" i="22"/>
  <c r="B23" i="22"/>
  <c r="C23" i="22"/>
  <c r="D23" i="22"/>
  <c r="E23" i="22"/>
  <c r="F23" i="22"/>
  <c r="G23" i="22"/>
  <c r="H23" i="22"/>
  <c r="I23" i="22"/>
  <c r="J23" i="22"/>
  <c r="B17" i="14"/>
  <c r="B7" i="8"/>
  <c r="C7" i="8"/>
  <c r="D7" i="8"/>
  <c r="E7" i="8"/>
  <c r="F7" i="8"/>
  <c r="G7" i="8"/>
  <c r="B9" i="8"/>
  <c r="C9" i="8"/>
  <c r="D9" i="8"/>
  <c r="E9" i="8"/>
  <c r="F9" i="8"/>
  <c r="G9" i="8"/>
  <c r="C10" i="8"/>
  <c r="D10" i="8"/>
  <c r="E10" i="8"/>
  <c r="F10" i="8"/>
  <c r="G10" i="8"/>
  <c r="C11" i="8"/>
  <c r="D11" i="8"/>
  <c r="E11" i="8"/>
  <c r="F11" i="8"/>
  <c r="G11" i="8"/>
  <c r="B15" i="8"/>
  <c r="C15" i="8"/>
  <c r="D15" i="8"/>
  <c r="E15" i="8"/>
  <c r="F15" i="8"/>
  <c r="G15" i="8"/>
  <c r="B17" i="8"/>
  <c r="C17" i="8"/>
  <c r="D17" i="8"/>
  <c r="E17" i="8"/>
  <c r="F17" i="8"/>
  <c r="G17" i="8"/>
  <c r="C18" i="8"/>
  <c r="D18" i="8"/>
  <c r="E18" i="8"/>
  <c r="F18" i="8"/>
  <c r="G18" i="8"/>
  <c r="C19" i="8"/>
  <c r="D19" i="8"/>
  <c r="E19" i="8"/>
  <c r="F19" i="8"/>
  <c r="G19" i="8"/>
  <c r="B23" i="8"/>
  <c r="C23" i="8"/>
  <c r="D23" i="8"/>
  <c r="E23" i="8"/>
  <c r="F23" i="8"/>
  <c r="G23" i="8"/>
  <c r="B25" i="8"/>
  <c r="C25" i="8"/>
  <c r="D25" i="8"/>
  <c r="E25" i="8"/>
  <c r="F25" i="8"/>
  <c r="G25" i="8"/>
  <c r="C26" i="8"/>
  <c r="D26" i="8"/>
  <c r="E26" i="8"/>
  <c r="F26" i="8"/>
  <c r="G26" i="8"/>
  <c r="C27" i="8"/>
  <c r="D27" i="8"/>
  <c r="E27" i="8"/>
  <c r="F27" i="8"/>
  <c r="G27" i="8"/>
  <c r="B31" i="8"/>
  <c r="C31" i="8"/>
  <c r="D31" i="8"/>
  <c r="E31" i="8"/>
  <c r="F31" i="8"/>
  <c r="G31" i="8"/>
  <c r="B33" i="8"/>
  <c r="C33" i="8"/>
  <c r="D33" i="8"/>
  <c r="E33" i="8"/>
  <c r="F33" i="8"/>
  <c r="G33" i="8"/>
  <c r="C34" i="8"/>
  <c r="D34" i="8"/>
  <c r="E34" i="8"/>
  <c r="F34" i="8"/>
  <c r="G34" i="8"/>
  <c r="C35" i="8"/>
  <c r="D35" i="8"/>
  <c r="E35" i="8"/>
  <c r="F35" i="8"/>
  <c r="G35" i="8"/>
  <c r="B39" i="8"/>
  <c r="C39" i="8"/>
  <c r="D39" i="8"/>
  <c r="E39" i="8"/>
  <c r="F39" i="8"/>
  <c r="G39" i="8"/>
  <c r="B41" i="8"/>
  <c r="C41" i="8"/>
  <c r="D41" i="8"/>
  <c r="E41" i="8"/>
  <c r="F41" i="8"/>
  <c r="G41" i="8"/>
  <c r="C42" i="8"/>
  <c r="D42" i="8"/>
  <c r="E42" i="8"/>
  <c r="F42" i="8"/>
  <c r="G42" i="8"/>
  <c r="C43" i="8"/>
  <c r="D43" i="8"/>
  <c r="E43" i="8"/>
  <c r="F43" i="8"/>
  <c r="G43" i="8"/>
  <c r="B47" i="8"/>
  <c r="C47" i="8"/>
  <c r="D47" i="8"/>
  <c r="E47" i="8"/>
  <c r="F47" i="8"/>
  <c r="G47" i="8"/>
  <c r="B49" i="8"/>
  <c r="C49" i="8"/>
  <c r="D49" i="8"/>
  <c r="E49" i="8"/>
  <c r="F49" i="8"/>
  <c r="G49" i="8"/>
  <c r="C50" i="8"/>
  <c r="D50" i="8"/>
  <c r="E50" i="8"/>
  <c r="F50" i="8"/>
  <c r="G50" i="8"/>
  <c r="C51" i="8"/>
  <c r="D51" i="8"/>
  <c r="E51" i="8"/>
  <c r="F51" i="8"/>
  <c r="G51" i="8"/>
  <c r="B55" i="8"/>
  <c r="C55" i="8"/>
  <c r="D55" i="8"/>
  <c r="E55" i="8"/>
  <c r="F55" i="8"/>
  <c r="G55" i="8"/>
  <c r="B57" i="8"/>
  <c r="C57" i="8"/>
  <c r="D57" i="8"/>
  <c r="E57" i="8"/>
  <c r="F57" i="8"/>
  <c r="G57" i="8"/>
  <c r="C58" i="8"/>
  <c r="D58" i="8"/>
  <c r="E58" i="8"/>
  <c r="F58" i="8"/>
  <c r="G58" i="8"/>
  <c r="C59" i="8"/>
  <c r="D59" i="8"/>
  <c r="E59" i="8"/>
  <c r="F59" i="8"/>
  <c r="G59" i="8"/>
  <c r="B63" i="8"/>
  <c r="C63" i="8"/>
  <c r="D63" i="8"/>
  <c r="E63" i="8"/>
  <c r="F63" i="8"/>
  <c r="G63" i="8"/>
  <c r="B65" i="8"/>
  <c r="C65" i="8"/>
  <c r="D65" i="8"/>
  <c r="E65" i="8"/>
  <c r="F65" i="8"/>
  <c r="G65" i="8"/>
  <c r="C66" i="8"/>
  <c r="D66" i="8"/>
  <c r="E66" i="8"/>
  <c r="F66" i="8"/>
  <c r="G66" i="8"/>
  <c r="C67" i="8"/>
  <c r="D67" i="8"/>
  <c r="E67" i="8"/>
  <c r="F67" i="8"/>
  <c r="G67" i="8"/>
  <c r="B71" i="8"/>
  <c r="C71" i="8"/>
  <c r="D71" i="8"/>
  <c r="E71" i="8"/>
  <c r="F71" i="8"/>
  <c r="G71" i="8"/>
  <c r="B73" i="8"/>
  <c r="C73" i="8"/>
  <c r="D73" i="8"/>
  <c r="E73" i="8"/>
  <c r="F73" i="8"/>
  <c r="G73" i="8"/>
  <c r="C74" i="8"/>
  <c r="D74" i="8"/>
  <c r="E74" i="8"/>
  <c r="F74" i="8"/>
  <c r="G74" i="8"/>
  <c r="C75" i="8"/>
  <c r="D75" i="8"/>
  <c r="E75" i="8"/>
  <c r="F75" i="8"/>
  <c r="G75" i="8"/>
  <c r="F24" i="22"/>
  <c r="C24" i="22"/>
  <c r="B24" i="22"/>
  <c r="J24" i="22"/>
  <c r="I24" i="22"/>
  <c r="G24" i="22"/>
  <c r="E24" i="22"/>
  <c r="H24" i="22"/>
  <c r="D24" i="22"/>
</calcChain>
</file>

<file path=xl/sharedStrings.xml><?xml version="1.0" encoding="utf-8"?>
<sst xmlns="http://schemas.openxmlformats.org/spreadsheetml/2006/main" count="598" uniqueCount="209">
  <si>
    <t>Natural and Physical Sciences</t>
  </si>
  <si>
    <t>Information Technology</t>
  </si>
  <si>
    <t>Engineering and Related Technologies</t>
  </si>
  <si>
    <t>Architecture and Building</t>
  </si>
  <si>
    <t>Agriculture, Environmental and Related Studies</t>
  </si>
  <si>
    <t>Health</t>
  </si>
  <si>
    <t>Education</t>
  </si>
  <si>
    <t>Management and Commerce</t>
  </si>
  <si>
    <t>Society and Culture</t>
  </si>
  <si>
    <t>Creative Arts</t>
  </si>
  <si>
    <t>New South Wales</t>
  </si>
  <si>
    <t>Charles Sturt University</t>
  </si>
  <si>
    <t>Macquarie University</t>
  </si>
  <si>
    <t>Southern Cross University</t>
  </si>
  <si>
    <t>The University of New England</t>
  </si>
  <si>
    <t>The University of New South Wales</t>
  </si>
  <si>
    <t>The University of Newcastle</t>
  </si>
  <si>
    <t>The University of Sydney</t>
  </si>
  <si>
    <t>University of Technology, Sydney</t>
  </si>
  <si>
    <t>University of Western Sydney</t>
  </si>
  <si>
    <t>University of Wollongong</t>
  </si>
  <si>
    <t>Victoria</t>
  </si>
  <si>
    <t>La Trobe University</t>
  </si>
  <si>
    <t>Monash University</t>
  </si>
  <si>
    <t>RMIT University</t>
  </si>
  <si>
    <t>Swinburne University of Technology</t>
  </si>
  <si>
    <t>The University of Melbourne</t>
  </si>
  <si>
    <t>Victoria University</t>
  </si>
  <si>
    <t>Queensland</t>
  </si>
  <si>
    <t>Central Queensland University</t>
  </si>
  <si>
    <t>Griffith University</t>
  </si>
  <si>
    <t>James Cook University</t>
  </si>
  <si>
    <t>Queensland University of Technology</t>
  </si>
  <si>
    <t>The University of Queensland</t>
  </si>
  <si>
    <t>University of Southern Queensland</t>
  </si>
  <si>
    <t>University of the Sunshine Coast</t>
  </si>
  <si>
    <t>Western Australia</t>
  </si>
  <si>
    <t>Curtin University of Technology</t>
  </si>
  <si>
    <t>Edith Cowan University</t>
  </si>
  <si>
    <t>Murdoch University</t>
  </si>
  <si>
    <t>The University of Western Australia</t>
  </si>
  <si>
    <t>South Australia</t>
  </si>
  <si>
    <t>The University of Adelaide</t>
  </si>
  <si>
    <t>University of South Australia</t>
  </si>
  <si>
    <t>Tasmania</t>
  </si>
  <si>
    <t>University of Tasmania</t>
  </si>
  <si>
    <t>Northern Territory</t>
  </si>
  <si>
    <t>Charles Darwin University</t>
  </si>
  <si>
    <t>Australian Capital Territory</t>
  </si>
  <si>
    <t>The Australian National University</t>
  </si>
  <si>
    <t>University of Canberra</t>
  </si>
  <si>
    <t>Multi-State</t>
  </si>
  <si>
    <t>Australian Catholic University</t>
  </si>
  <si>
    <t>The University of Notre Dame Australia</t>
  </si>
  <si>
    <t>Gender</t>
  </si>
  <si>
    <t>CONTENTS</t>
  </si>
  <si>
    <t>&lt;Back to contents&gt;</t>
  </si>
  <si>
    <t xml:space="preserve"> &lt;Back to contents&gt;</t>
  </si>
  <si>
    <t>Deakin University</t>
  </si>
  <si>
    <t>AUSTRALIA</t>
  </si>
  <si>
    <t>Offer rate</t>
  </si>
  <si>
    <t>Acceptance rate</t>
  </si>
  <si>
    <t>VICTORIA</t>
  </si>
  <si>
    <t>QUEENSLAND</t>
  </si>
  <si>
    <t>WESTERN AUSTRALIA</t>
  </si>
  <si>
    <t>TASMANIA</t>
  </si>
  <si>
    <t>Non-Year 12</t>
  </si>
  <si>
    <t>Current Year 12</t>
  </si>
  <si>
    <t>Female</t>
  </si>
  <si>
    <t>Male</t>
  </si>
  <si>
    <t>Indigenous status</t>
  </si>
  <si>
    <t>SES</t>
  </si>
  <si>
    <t>High SES</t>
  </si>
  <si>
    <t>Medium SES</t>
  </si>
  <si>
    <t>Low SES</t>
  </si>
  <si>
    <t>FIELD OF EDUCATION </t>
  </si>
  <si>
    <t xml:space="preserve"> All low SES applicants </t>
  </si>
  <si>
    <t>Medical Studies</t>
  </si>
  <si>
    <t>Nursing</t>
  </si>
  <si>
    <t>Dental Studies</t>
  </si>
  <si>
    <t>Veterinary Studies</t>
  </si>
  <si>
    <t>Total</t>
  </si>
  <si>
    <t xml:space="preserve"> All medium SES applicants </t>
  </si>
  <si>
    <t xml:space="preserve"> All high SES applicants </t>
  </si>
  <si>
    <t>Health Other</t>
  </si>
  <si>
    <t xml:space="preserve"> Metropolitan applicants </t>
  </si>
  <si>
    <t xml:space="preserve"> Non-Metropolitan Applicants </t>
  </si>
  <si>
    <t>FIELD OF EDUCATION</t>
  </si>
  <si>
    <t>Vic.</t>
  </si>
  <si>
    <t>Qld</t>
  </si>
  <si>
    <t>WA</t>
  </si>
  <si>
    <t>Tas.</t>
  </si>
  <si>
    <t>Australia</t>
  </si>
  <si>
    <t>90.05 or more</t>
  </si>
  <si>
    <t>80.05-90.00</t>
  </si>
  <si>
    <t>70.05-80.00</t>
  </si>
  <si>
    <t>60.05-70.00</t>
  </si>
  <si>
    <t>50.05-60.00</t>
  </si>
  <si>
    <t xml:space="preserve">Total </t>
  </si>
  <si>
    <t>Applications</t>
  </si>
  <si>
    <t>Offers</t>
  </si>
  <si>
    <t>Offer rates</t>
  </si>
  <si>
    <t>Flinders University of South Australia</t>
  </si>
  <si>
    <t>Offer Rates</t>
  </si>
  <si>
    <t>NOTES</t>
  </si>
  <si>
    <t>Metropolitan</t>
  </si>
  <si>
    <t>Non-Metropolitan</t>
  </si>
  <si>
    <t>Age</t>
  </si>
  <si>
    <t>20-24</t>
  </si>
  <si>
    <t>25-39</t>
  </si>
  <si>
    <t>40 and over</t>
  </si>
  <si>
    <t>Home state</t>
  </si>
  <si>
    <t>50.00 or less</t>
  </si>
  <si>
    <t>Year 12 status</t>
  </si>
  <si>
    <t>Indigenous</t>
  </si>
  <si>
    <t>Non-Indigenous</t>
  </si>
  <si>
    <t>Regionality</t>
  </si>
  <si>
    <t>ATAR</t>
  </si>
  <si>
    <t>% change in applications</t>
  </si>
  <si>
    <t>% change in offers</t>
  </si>
  <si>
    <t>Acceptance Rates</t>
  </si>
  <si>
    <t>19 and under</t>
  </si>
  <si>
    <t>Interstate / overseas</t>
  </si>
  <si>
    <t xml:space="preserve">2. Applicants with invalid or missing information have not been presented in the table. </t>
  </si>
  <si>
    <t xml:space="preserve">Notes: </t>
  </si>
  <si>
    <t>Notes:</t>
  </si>
  <si>
    <t>2. Society and Culture includes a broad range of subject areas including Behavioural Science, Law, Language &amp; Literature, Economics &amp; Econometrics.</t>
  </si>
  <si>
    <t>Acceptances</t>
  </si>
  <si>
    <t>1. Acceptances exclude deferrals.</t>
  </si>
  <si>
    <t>Note: Acceptances exclude deferrals.</t>
  </si>
  <si>
    <t>3. The University of Notre Dame accepts only direct applications as it is not part of the Tertiary Institutions Service Centre in Western Australia.</t>
  </si>
  <si>
    <t>3. Hospitality and Mixed Field Programs are not shown due to the small number of applications, offers and acceptances. Hence, the total number of applications, offers and acceptances do not equal the sum of applications/offers/acceptances by broad field of education in the above table.</t>
  </si>
  <si>
    <t>Group of Eight</t>
  </si>
  <si>
    <t xml:space="preserve">     Monash University</t>
  </si>
  <si>
    <t xml:space="preserve">     The Australian National University</t>
  </si>
  <si>
    <t xml:space="preserve">     The University of Adelaide</t>
  </si>
  <si>
    <t xml:space="preserve">     The University of Melbourne</t>
  </si>
  <si>
    <t xml:space="preserve">     The University of New South Wales</t>
  </si>
  <si>
    <t xml:space="preserve">     The University of Queensland</t>
  </si>
  <si>
    <t xml:space="preserve">     The University of Sydney</t>
  </si>
  <si>
    <t xml:space="preserve">     The University of Western Australia</t>
  </si>
  <si>
    <t>Innovative Research Universities</t>
  </si>
  <si>
    <t xml:space="preserve">      Charles Darwin University</t>
  </si>
  <si>
    <t xml:space="preserve">      Flinders University of South Australia</t>
  </si>
  <si>
    <t xml:space="preserve">      Griffith University</t>
  </si>
  <si>
    <t xml:space="preserve">      James Cook University</t>
  </si>
  <si>
    <t xml:space="preserve">      La Trobe University</t>
  </si>
  <si>
    <t xml:space="preserve">      Murdoch University</t>
  </si>
  <si>
    <t>Australian Technology Network</t>
  </si>
  <si>
    <t xml:space="preserve">      Curtin University of Technology</t>
  </si>
  <si>
    <t xml:space="preserve">      Queensland University of Technology</t>
  </si>
  <si>
    <t xml:space="preserve">      RMIT University</t>
  </si>
  <si>
    <t xml:space="preserve">      University of South Australia</t>
  </si>
  <si>
    <r>
      <t xml:space="preserve">      University of Technology, Sydney</t>
    </r>
    <r>
      <rPr>
        <b/>
        <sz val="11"/>
        <rFont val="Calibri"/>
        <family val="2"/>
      </rPr>
      <t xml:space="preserve"> </t>
    </r>
  </si>
  <si>
    <t>Regional Universities Network</t>
  </si>
  <si>
    <t xml:space="preserve">     Central Queensland University</t>
  </si>
  <si>
    <t xml:space="preserve">     Southern Cross University </t>
  </si>
  <si>
    <t xml:space="preserve">     University of New England</t>
  </si>
  <si>
    <t xml:space="preserve">     University of Southern Queensland</t>
  </si>
  <si>
    <t xml:space="preserve">     University of the Sunshine Coast</t>
  </si>
  <si>
    <t>Federation University of Australia</t>
  </si>
  <si>
    <t xml:space="preserve">     Federation University of Australia</t>
  </si>
  <si>
    <t>Note:  The following Table A universities are not aligned to a university group: Australian Catholic University; Charles Sturt University; Deakin University; Edith Cowan University; Macquarie University; Swinburne University of Technology; University of Canberra; University of Newcastle; University of Tasmania; University of Western Sydney; University of Wollongong; and Victoria University.</t>
  </si>
  <si>
    <t>Tables do not always sum to reported totals due to the exclusion of invalid or missing information.</t>
  </si>
  <si>
    <t>Unless otherwise specified, all data relates to domestic applications, offers and acceptances made through Tertiary Admissions Centres for undergraduate Commonwealth-supported places.</t>
  </si>
  <si>
    <t>Australia Capital Territory</t>
  </si>
  <si>
    <t xml:space="preserve">SOUTH AUSTRALIA </t>
  </si>
  <si>
    <t>NEW SOUTH WALES</t>
  </si>
  <si>
    <t>AUSTRALIAN CAPITAL TERRITORY</t>
  </si>
  <si>
    <t>NORTHERN TERRITORY</t>
  </si>
  <si>
    <t xml:space="preserve">NEW SOUTH WALES </t>
  </si>
  <si>
    <t>Applicatons</t>
  </si>
  <si>
    <t>`</t>
  </si>
  <si>
    <t>4. Offer rates are expressed as the number of offers as a percentage of number of applicants.</t>
  </si>
  <si>
    <t xml:space="preserve">4. Offer rates are expressed as the number of offers as a percentage of number of applicants.  </t>
  </si>
  <si>
    <t>NSW</t>
  </si>
  <si>
    <t>SA</t>
  </si>
  <si>
    <t>ACT</t>
  </si>
  <si>
    <t>NT</t>
  </si>
  <si>
    <t>Australia*</t>
  </si>
  <si>
    <t>2. * Australia totals include missing/unknown postcodes which cannot be assigned to a state/territory.</t>
  </si>
  <si>
    <t>2. * Totals exclude missing/unknown postcodes which cannot be assigned to an SES.</t>
  </si>
  <si>
    <t>Total *</t>
  </si>
  <si>
    <t>Table A11 University Group / Type of University</t>
  </si>
  <si>
    <t>AUSTRALIAN CAPITAL TERROTRY</t>
  </si>
  <si>
    <t>1. Offer rates is the proportion of applicants with at least one valid preference (both TAC and direct applicants data combined) who receive an offer.  Given that offers may result from lower order preferences, offer rates for certain institutions may exceed 100%.</t>
  </si>
  <si>
    <t>All the tables include Western Australia.</t>
  </si>
  <si>
    <t>Combined Applications, Offers and Offer Rates</t>
  </si>
  <si>
    <t>Undergraduate Applications, Offers and Acceptances, 2017</t>
  </si>
  <si>
    <t>Table A3 Applications, offers and acceptances by under-represented groups, by state, 2017</t>
  </si>
  <si>
    <t>Table A4.1 Applications, offers and acceptances by field of education, 2010-2017</t>
  </si>
  <si>
    <t>Table A4.2 Offer rates and acceptance rates by field of education, 2010-2017</t>
  </si>
  <si>
    <t>Table A1 Applications, offers and acceptances by state, 2011-2017</t>
  </si>
  <si>
    <t>Table A2 Applications and offers and acceptances by Year 12 status, age, gender, and home state/interstate, by state, 2017</t>
  </si>
  <si>
    <t>Table A5 Applications, offers and acceptances by SES by field of education, 2017</t>
  </si>
  <si>
    <t>Table A6 Applications, offers and acceptances by region by field of education, 2017</t>
  </si>
  <si>
    <t>Table A7 Applications, offers and acceptances by Indigenous status by field of education, 2017</t>
  </si>
  <si>
    <t>Table A8.1 Current Year 12 applications, offers and acceptances by state by ATAR, 2017</t>
  </si>
  <si>
    <t>Table A8.2 Current Year 12 offer rates and acceptances rates by state by ATAR, 2017</t>
  </si>
  <si>
    <t>Table A9.1 Current Year 12 applications, offers and acceptances by SES, 2017</t>
  </si>
  <si>
    <t>Table A9.2 Share of current Year 12 applications, offers and acceptances by SES, 2017</t>
  </si>
  <si>
    <t>Table A10 Combined Applications, offers and offer rates by institution, 2010-2017</t>
  </si>
  <si>
    <t>Acceptance rates</t>
  </si>
  <si>
    <t>Table A4.1 Applicants offers and acceptances by field of education, 2010-2017</t>
  </si>
  <si>
    <t>Table A5 Applicants offers and acceptances by SES by field of education , 2017</t>
  </si>
  <si>
    <t>Table A8.2 Current Year 12 offer rates and acceptances rates by state by ATAR,2017</t>
  </si>
  <si>
    <t>Note: Australia totals include missing/unknown postcodes which cannot be assigned to a state/territory.</t>
  </si>
  <si>
    <t>3. Australia totals include missing/unknown postcodes which cannot be assigned to a state/territory.</t>
  </si>
  <si>
    <t>Table A10 Combined Applicants, offers and offer rates by institution, 2010-2017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</si>
</sst>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 #,##0.00_-;_-* &quot;-&quot;??_-;_-@_-"/>
    <numFmt numFmtId="164" formatCode="0.0%"/>
    <numFmt numFmtId="165" formatCode="_-* #,##0_-;\-* #,##0_-;_-* &quot;-&quot;??_-;_-@_-"/>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10"/>
      <name val="Arial"/>
      <family val="2"/>
    </font>
    <font>
      <u/>
      <sz val="10"/>
      <color indexed="12"/>
      <name val="Arial"/>
      <family val="2"/>
    </font>
    <font>
      <b/>
      <sz val="10"/>
      <name val="Arial"/>
      <family val="2"/>
    </font>
    <font>
      <sz val="20"/>
      <name val="Tw Cen MT"/>
      <family val="2"/>
    </font>
    <font>
      <sz val="10"/>
      <name val="Tw Cen MT"/>
      <family val="2"/>
    </font>
    <font>
      <u/>
      <sz val="10"/>
      <color indexed="12"/>
      <name val="Arial"/>
      <family val="2"/>
    </font>
    <font>
      <sz val="10"/>
      <name val="Calibri"/>
      <family val="2"/>
    </font>
    <font>
      <b/>
      <sz val="10"/>
      <name val="Calibri"/>
      <family val="2"/>
    </font>
    <font>
      <sz val="8"/>
      <name val="Calibri"/>
      <family val="2"/>
    </font>
    <font>
      <i/>
      <sz val="10"/>
      <name val="Calibri"/>
      <family val="2"/>
    </font>
    <font>
      <b/>
      <sz val="11"/>
      <name val="Calibri"/>
      <family val="2"/>
    </font>
    <font>
      <sz val="11"/>
      <name val="Calibri"/>
      <family val="2"/>
    </font>
    <font>
      <i/>
      <sz val="10"/>
      <name val="Arial"/>
      <family val="2"/>
    </font>
    <font>
      <b/>
      <i/>
      <sz val="10"/>
      <name val="Arial"/>
      <family val="2"/>
    </font>
    <font>
      <sz val="9"/>
      <name val="Calibri"/>
      <family val="2"/>
    </font>
    <font>
      <i/>
      <sz val="9"/>
      <name val="Calibri"/>
      <family val="2"/>
    </font>
    <font>
      <sz val="11"/>
      <color theme="1"/>
      <name val="Calibri"/>
      <family val="2"/>
      <scheme val="minor"/>
    </font>
    <font>
      <b/>
      <sz val="11"/>
      <color theme="0"/>
      <name val="Calibri"/>
      <family val="2"/>
      <scheme val="minor"/>
    </font>
    <font>
      <b/>
      <sz val="11"/>
      <color theme="1"/>
      <name val="Calibri"/>
      <family val="2"/>
      <scheme val="minor"/>
    </font>
    <font>
      <b/>
      <sz val="14"/>
      <color theme="1"/>
      <name val="Calibri"/>
      <family val="2"/>
      <scheme val="minor"/>
    </font>
    <font>
      <sz val="10"/>
      <color theme="0"/>
      <name val="Arial"/>
      <family val="2"/>
    </font>
    <font>
      <b/>
      <sz val="14"/>
      <name val="Calibri"/>
      <family val="2"/>
      <scheme val="minor"/>
    </font>
    <font>
      <sz val="10"/>
      <color theme="0"/>
      <name val="Calibri"/>
      <family val="2"/>
      <scheme val="minor"/>
    </font>
    <font>
      <b/>
      <sz val="11"/>
      <name val="Calibri"/>
      <family val="2"/>
      <scheme val="minor"/>
    </font>
    <font>
      <sz val="12"/>
      <color theme="0"/>
      <name val="Arial"/>
      <family val="2"/>
    </font>
    <font>
      <sz val="10"/>
      <name val="Calibri"/>
      <family val="2"/>
      <scheme val="minor"/>
    </font>
    <font>
      <i/>
      <sz val="10"/>
      <color theme="1"/>
      <name val="Calibri"/>
      <family val="2"/>
      <scheme val="minor"/>
    </font>
    <font>
      <b/>
      <sz val="10"/>
      <name val="Calibri"/>
      <family val="2"/>
      <scheme val="minor"/>
    </font>
    <font>
      <b/>
      <sz val="12"/>
      <color theme="0"/>
      <name val="Calibri"/>
      <family val="2"/>
      <scheme val="minor"/>
    </font>
    <font>
      <sz val="10"/>
      <color rgb="FFFF0000"/>
      <name val="Arial"/>
      <family val="2"/>
    </font>
    <font>
      <b/>
      <sz val="10"/>
      <color theme="1"/>
      <name val="Calibri"/>
      <family val="2"/>
      <scheme val="minor"/>
    </font>
    <font>
      <sz val="10"/>
      <color rgb="FF000000"/>
      <name val="Calibri"/>
      <family val="2"/>
      <scheme val="minor"/>
    </font>
    <font>
      <sz val="14"/>
      <name val="Calibri"/>
      <family val="2"/>
      <scheme val="minor"/>
    </font>
    <font>
      <u/>
      <sz val="10"/>
      <color indexed="12"/>
      <name val="Calibri"/>
      <family val="2"/>
      <scheme val="minor"/>
    </font>
    <font>
      <sz val="10"/>
      <color rgb="FFFF0000"/>
      <name val="Calibri"/>
      <family val="2"/>
      <scheme val="minor"/>
    </font>
    <font>
      <sz val="8"/>
      <name val="Calibri"/>
      <family val="2"/>
      <scheme val="minor"/>
    </font>
    <font>
      <i/>
      <sz val="1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b/>
      <sz val="14"/>
      <name val="Arial"/>
      <family val="2"/>
    </font>
    <font>
      <sz val="9"/>
      <name val="Arial"/>
      <family val="2"/>
    </font>
  </fonts>
  <fills count="37">
    <fill>
      <patternFill patternType="none"/>
    </fill>
    <fill>
      <patternFill patternType="gray125"/>
    </fill>
    <fill>
      <patternFill patternType="solid">
        <fgColor rgb="FFFFC000"/>
        <bgColor indexed="64"/>
      </patternFill>
    </fill>
    <fill>
      <patternFill patternType="solid">
        <fgColor theme="3"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4"/>
        <bgColor indexed="64"/>
      </patternFill>
    </fill>
    <fill>
      <patternFill patternType="solid">
        <fgColor indexed="43"/>
        <bgColor indexed="64"/>
      </patternFill>
    </fill>
  </fills>
  <borders count="2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style="thin">
        <color auto="1"/>
      </top>
      <bottom style="thin">
        <color auto="1"/>
      </bottom>
      <diagonal/>
    </border>
    <border>
      <left style="thick">
        <color auto="1"/>
      </left>
      <right style="thick">
        <color auto="1"/>
      </right>
      <top style="thick">
        <color auto="1"/>
      </top>
      <bottom/>
      <diagonal/>
    </border>
    <border>
      <left style="thick">
        <color auto="1"/>
      </left>
      <right style="thick">
        <color auto="1"/>
      </right>
      <top/>
      <bottom/>
      <diagonal/>
    </border>
    <border>
      <left/>
      <right style="thick">
        <color auto="1"/>
      </right>
      <top style="thick">
        <color auto="1"/>
      </top>
      <bottom/>
      <diagonal/>
    </border>
    <border>
      <left/>
      <right style="thick">
        <color auto="1"/>
      </right>
      <top/>
      <bottom/>
      <diagonal/>
    </border>
    <border>
      <left style="thin">
        <color auto="1"/>
      </left>
      <right style="thin">
        <color auto="1"/>
      </right>
      <top/>
      <bottom style="thin">
        <color auto="1"/>
      </bottom>
      <diagonal/>
    </border>
    <border>
      <left style="thick">
        <color auto="1"/>
      </left>
      <right style="thick">
        <color auto="1"/>
      </right>
      <top/>
      <bottom style="medium">
        <color auto="1"/>
      </bottom>
      <diagonal/>
    </border>
    <border>
      <left/>
      <right style="thick">
        <color auto="1"/>
      </right>
      <top/>
      <bottom style="medium">
        <color auto="1"/>
      </bottom>
      <diagonal/>
    </border>
    <border>
      <left/>
      <right/>
      <top/>
      <bottom style="thin">
        <color auto="1"/>
      </bottom>
      <diagonal/>
    </border>
    <border>
      <left style="thin">
        <color auto="1"/>
      </left>
      <right/>
      <top/>
      <bottom/>
      <diagonal/>
    </border>
    <border>
      <left/>
      <right style="thin">
        <color auto="1"/>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bottom style="thin">
        <color auto="1"/>
      </bottom>
      <diagonal/>
    </border>
    <border>
      <left/>
      <right style="thin">
        <color auto="1"/>
      </right>
      <top/>
      <bottom style="thin">
        <color auto="1"/>
      </bottom>
      <diagonal/>
    </border>
  </borders>
  <cellStyleXfs count="70">
    <xf numFmtId="0" fontId="0" fillId="0" borderId="0"/>
    <xf numFmtId="43" fontId="4" fillId="0" borderId="0" applyFont="0" applyFill="0" applyBorder="0" applyAlignment="0" applyProtection="0"/>
    <xf numFmtId="43" fontId="4" fillId="0" borderId="0" applyFont="0" applyFill="0" applyBorder="0" applyAlignment="0" applyProtection="0"/>
    <xf numFmtId="0" fontId="7" fillId="0" borderId="0" applyNumberFormat="0" applyFill="0" applyBorder="0" applyAlignment="0" applyProtection="0">
      <alignment vertical="top"/>
      <protection locked="0"/>
    </xf>
    <xf numFmtId="0" fontId="11" fillId="0" borderId="0" applyNumberFormat="0" applyFill="0" applyBorder="0" applyAlignment="0" applyProtection="0">
      <alignment vertical="top"/>
      <protection locked="0"/>
    </xf>
    <xf numFmtId="0" fontId="7" fillId="0" borderId="0" applyNumberFormat="0" applyFill="0" applyBorder="0" applyAlignment="0" applyProtection="0">
      <alignment vertical="top"/>
      <protection locked="0"/>
    </xf>
    <xf numFmtId="0" fontId="7" fillId="0" borderId="0" applyNumberFormat="0" applyFill="0" applyBorder="0" applyAlignment="0" applyProtection="0">
      <alignment vertical="top"/>
      <protection locked="0"/>
    </xf>
    <xf numFmtId="0" fontId="22" fillId="0" borderId="0"/>
    <xf numFmtId="0" fontId="6" fillId="0" borderId="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3" fillId="0" borderId="0"/>
    <xf numFmtId="0" fontId="43" fillId="0" borderId="0" applyNumberFormat="0" applyFill="0" applyBorder="0" applyAlignment="0" applyProtection="0"/>
    <xf numFmtId="0" fontId="44" fillId="0" borderId="16" applyNumberFormat="0" applyFill="0" applyAlignment="0" applyProtection="0"/>
    <xf numFmtId="0" fontId="45" fillId="0" borderId="17" applyNumberFormat="0" applyFill="0" applyAlignment="0" applyProtection="0"/>
    <xf numFmtId="0" fontId="46" fillId="0" borderId="18" applyNumberFormat="0" applyFill="0" applyAlignment="0" applyProtection="0"/>
    <xf numFmtId="0" fontId="46" fillId="0" borderId="0" applyNumberFormat="0" applyFill="0" applyBorder="0" applyAlignment="0" applyProtection="0"/>
    <xf numFmtId="0" fontId="47" fillId="4" borderId="0" applyNumberFormat="0" applyBorder="0" applyAlignment="0" applyProtection="0"/>
    <xf numFmtId="0" fontId="48" fillId="5" borderId="0" applyNumberFormat="0" applyBorder="0" applyAlignment="0" applyProtection="0"/>
    <xf numFmtId="0" fontId="49" fillId="6" borderId="0" applyNumberFormat="0" applyBorder="0" applyAlignment="0" applyProtection="0"/>
    <xf numFmtId="0" fontId="50" fillId="7" borderId="19" applyNumberFormat="0" applyAlignment="0" applyProtection="0"/>
    <xf numFmtId="0" fontId="51" fillId="8" borderId="20" applyNumberFormat="0" applyAlignment="0" applyProtection="0"/>
    <xf numFmtId="0" fontId="52" fillId="8" borderId="19" applyNumberFormat="0" applyAlignment="0" applyProtection="0"/>
    <xf numFmtId="0" fontId="53" fillId="0" borderId="21" applyNumberFormat="0" applyFill="0" applyAlignment="0" applyProtection="0"/>
    <xf numFmtId="0" fontId="23" fillId="9" borderId="22" applyNumberFormat="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24" fillId="0" borderId="24" applyNumberFormat="0" applyFill="0" applyAlignment="0" applyProtection="0"/>
    <xf numFmtId="0" fontId="56"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56" fillId="14" borderId="0" applyNumberFormat="0" applyBorder="0" applyAlignment="0" applyProtection="0"/>
    <xf numFmtId="0" fontId="56"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56" fillId="18" borderId="0" applyNumberFormat="0" applyBorder="0" applyAlignment="0" applyProtection="0"/>
    <xf numFmtId="0" fontId="56"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56" fillId="22" borderId="0" applyNumberFormat="0" applyBorder="0" applyAlignment="0" applyProtection="0"/>
    <xf numFmtId="0" fontId="56"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56" fillId="26" borderId="0" applyNumberFormat="0" applyBorder="0" applyAlignment="0" applyProtection="0"/>
    <xf numFmtId="0" fontId="56"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56" fillId="30" borderId="0" applyNumberFormat="0" applyBorder="0" applyAlignment="0" applyProtection="0"/>
    <xf numFmtId="0" fontId="56"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56" fillId="34" borderId="0" applyNumberFormat="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10" borderId="23" applyNumberFormat="0" applyFont="0" applyAlignment="0" applyProtection="0"/>
    <xf numFmtId="0" fontId="57" fillId="0" borderId="0">
      <protection locked="0"/>
    </xf>
    <xf numFmtId="0" fontId="8" fillId="35" borderId="0">
      <alignment vertical="center"/>
      <protection locked="0"/>
    </xf>
    <xf numFmtId="0" fontId="4" fillId="35" borderId="4">
      <alignment horizontal="center" vertical="center"/>
      <protection locked="0"/>
    </xf>
    <xf numFmtId="0" fontId="4" fillId="35" borderId="5">
      <alignment vertical="center"/>
      <protection locked="0"/>
    </xf>
    <xf numFmtId="0" fontId="4" fillId="36" borderId="0">
      <protection locked="0"/>
    </xf>
    <xf numFmtId="0" fontId="8" fillId="0" borderId="0">
      <protection locked="0"/>
    </xf>
    <xf numFmtId="0" fontId="1" fillId="0" borderId="0"/>
    <xf numFmtId="0" fontId="4" fillId="0" borderId="0"/>
    <xf numFmtId="0" fontId="4" fillId="35" borderId="5">
      <alignment vertical="center"/>
      <protection locked="0"/>
    </xf>
    <xf numFmtId="43" fontId="4" fillId="0" borderId="0" applyFont="0" applyFill="0" applyBorder="0" applyAlignment="0" applyProtection="0"/>
    <xf numFmtId="9" fontId="4" fillId="0" borderId="0" applyFont="0" applyFill="0" applyBorder="0" applyAlignment="0" applyProtection="0"/>
    <xf numFmtId="0" fontId="1" fillId="0" borderId="0"/>
  </cellStyleXfs>
  <cellXfs count="227">
    <xf numFmtId="0" fontId="0" fillId="0" borderId="0" xfId="0"/>
    <xf numFmtId="0" fontId="0" fillId="0" borderId="0" xfId="0" applyAlignment="1">
      <alignment horizontal="left"/>
    </xf>
    <xf numFmtId="0" fontId="0" fillId="0" borderId="0" xfId="0" applyAlignment="1"/>
    <xf numFmtId="0" fontId="8" fillId="0" borderId="0" xfId="0" applyFont="1"/>
    <xf numFmtId="164" fontId="0" fillId="0" borderId="0" xfId="0" applyNumberFormat="1" applyAlignment="1"/>
    <xf numFmtId="0" fontId="0" fillId="0" borderId="0" xfId="0" applyBorder="1"/>
    <xf numFmtId="0" fontId="8" fillId="0" borderId="0" xfId="0" applyFont="1" applyBorder="1"/>
    <xf numFmtId="0" fontId="0" fillId="0" borderId="0" xfId="0" applyBorder="1" applyAlignment="1"/>
    <xf numFmtId="0" fontId="9" fillId="0" borderId="0" xfId="0" applyFont="1" applyAlignment="1">
      <alignment wrapText="1"/>
    </xf>
    <xf numFmtId="0" fontId="10" fillId="0" borderId="0" xfId="0" applyFont="1" applyAlignment="1">
      <alignment wrapText="1"/>
    </xf>
    <xf numFmtId="0" fontId="7" fillId="0" borderId="0" xfId="3" applyAlignment="1" applyProtection="1">
      <alignment horizontal="left"/>
    </xf>
    <xf numFmtId="0" fontId="6" fillId="0" borderId="0" xfId="0" applyFont="1" applyAlignment="1"/>
    <xf numFmtId="0" fontId="8" fillId="0" borderId="0" xfId="0" applyFont="1" applyBorder="1" applyAlignment="1"/>
    <xf numFmtId="0" fontId="9" fillId="0" borderId="0" xfId="0" applyFont="1" applyAlignment="1"/>
    <xf numFmtId="0" fontId="25" fillId="0" borderId="0" xfId="0" applyFont="1"/>
    <xf numFmtId="0" fontId="0" fillId="2" borderId="1" xfId="0" applyFill="1" applyBorder="1"/>
    <xf numFmtId="0" fontId="24" fillId="2" borderId="1" xfId="0" applyFont="1" applyFill="1" applyBorder="1"/>
    <xf numFmtId="0" fontId="26" fillId="0" borderId="0" xfId="0" applyFont="1"/>
    <xf numFmtId="0" fontId="27" fillId="0" borderId="0" xfId="0" applyFont="1"/>
    <xf numFmtId="0" fontId="28" fillId="3" borderId="1" xfId="0" applyFont="1" applyFill="1" applyBorder="1"/>
    <xf numFmtId="0" fontId="8" fillId="0" borderId="0" xfId="0" applyFont="1" applyAlignment="1"/>
    <xf numFmtId="0" fontId="29" fillId="2" borderId="1" xfId="0" applyFont="1" applyFill="1" applyBorder="1"/>
    <xf numFmtId="0" fontId="24" fillId="2" borderId="1" xfId="0" applyFont="1" applyFill="1" applyBorder="1" applyAlignment="1">
      <alignment horizontal="center" wrapText="1"/>
    </xf>
    <xf numFmtId="0" fontId="25" fillId="0" borderId="0" xfId="0" applyFont="1" applyAlignment="1"/>
    <xf numFmtId="0" fontId="30" fillId="3" borderId="1" xfId="0" applyFont="1" applyFill="1" applyBorder="1"/>
    <xf numFmtId="0" fontId="31" fillId="0" borderId="1" xfId="0" applyFont="1" applyBorder="1"/>
    <xf numFmtId="3" fontId="31" fillId="0" borderId="1" xfId="0" applyNumberFormat="1" applyFont="1" applyBorder="1"/>
    <xf numFmtId="0" fontId="0" fillId="0" borderId="1" xfId="0" applyBorder="1"/>
    <xf numFmtId="0" fontId="31" fillId="2" borderId="1" xfId="0" applyFont="1" applyFill="1" applyBorder="1"/>
    <xf numFmtId="0" fontId="24" fillId="0" borderId="1" xfId="0" applyFont="1" applyBorder="1"/>
    <xf numFmtId="0" fontId="32" fillId="0" borderId="1" xfId="0" applyFont="1" applyBorder="1" applyAlignment="1">
      <alignment horizontal="left" indent="1"/>
    </xf>
    <xf numFmtId="164" fontId="31" fillId="0" borderId="1" xfId="0" applyNumberFormat="1" applyFont="1" applyBorder="1"/>
    <xf numFmtId="0" fontId="24" fillId="2" borderId="1" xfId="0" applyFont="1" applyFill="1" applyBorder="1" applyAlignment="1">
      <alignment horizontal="center" vertical="center" wrapText="1"/>
    </xf>
    <xf numFmtId="0" fontId="24" fillId="0" borderId="2" xfId="0" applyFont="1" applyBorder="1" applyAlignment="1">
      <alignment horizontal="left"/>
    </xf>
    <xf numFmtId="0" fontId="31" fillId="0" borderId="1" xfId="0" applyFont="1" applyFill="1" applyBorder="1" applyAlignment="1">
      <alignment wrapText="1"/>
    </xf>
    <xf numFmtId="0" fontId="29" fillId="2" borderId="1" xfId="0" applyFont="1" applyFill="1" applyBorder="1" applyAlignment="1">
      <alignment vertical="center" wrapText="1"/>
    </xf>
    <xf numFmtId="0" fontId="29" fillId="2" borderId="1" xfId="0" applyFont="1" applyFill="1" applyBorder="1" applyAlignment="1">
      <alignment horizontal="center" vertical="center" wrapText="1"/>
    </xf>
    <xf numFmtId="0" fontId="33" fillId="0" borderId="1" xfId="0" applyFont="1" applyBorder="1"/>
    <xf numFmtId="3" fontId="12" fillId="0" borderId="1" xfId="0" applyNumberFormat="1" applyFont="1" applyBorder="1" applyAlignment="1">
      <alignment horizontal="right" wrapText="1"/>
    </xf>
    <xf numFmtId="3" fontId="13" fillId="0" borderId="1" xfId="0" applyNumberFormat="1" applyFont="1" applyBorder="1" applyAlignment="1">
      <alignment horizontal="right" wrapText="1"/>
    </xf>
    <xf numFmtId="0" fontId="14" fillId="0" borderId="0" xfId="0" applyFont="1"/>
    <xf numFmtId="0" fontId="34" fillId="3" borderId="2" xfId="0" applyFont="1" applyFill="1" applyBorder="1" applyAlignment="1"/>
    <xf numFmtId="0" fontId="0" fillId="0" borderId="0" xfId="0" applyFill="1"/>
    <xf numFmtId="0" fontId="4" fillId="0" borderId="0" xfId="0" applyFont="1" applyFill="1"/>
    <xf numFmtId="0" fontId="0" fillId="0" borderId="0" xfId="0" applyFill="1" applyBorder="1" applyAlignment="1"/>
    <xf numFmtId="0" fontId="0" fillId="0" borderId="0" xfId="0" applyFill="1" applyBorder="1"/>
    <xf numFmtId="0" fontId="29" fillId="2" borderId="3" xfId="0" applyFont="1" applyFill="1" applyBorder="1" applyAlignment="1"/>
    <xf numFmtId="0" fontId="34" fillId="3" borderId="1" xfId="0" applyFont="1" applyFill="1" applyBorder="1" applyAlignment="1"/>
    <xf numFmtId="3" fontId="0" fillId="0" borderId="0" xfId="0" applyNumberFormat="1" applyBorder="1"/>
    <xf numFmtId="3" fontId="0" fillId="0" borderId="0" xfId="0" applyNumberFormat="1"/>
    <xf numFmtId="164" fontId="33" fillId="0" borderId="1" xfId="0" applyNumberFormat="1" applyFont="1" applyBorder="1"/>
    <xf numFmtId="0" fontId="24" fillId="0" borderId="2" xfId="0" applyFont="1" applyBorder="1"/>
    <xf numFmtId="0" fontId="8" fillId="0" borderId="2" xfId="0" applyFont="1" applyBorder="1"/>
    <xf numFmtId="3" fontId="0" fillId="0" borderId="0" xfId="0" applyNumberFormat="1" applyAlignment="1"/>
    <xf numFmtId="3" fontId="6" fillId="0" borderId="0" xfId="0" applyNumberFormat="1" applyFont="1" applyAlignment="1"/>
    <xf numFmtId="0" fontId="8" fillId="0" borderId="0" xfId="0" applyFont="1" applyAlignment="1">
      <alignment horizontal="left"/>
    </xf>
    <xf numFmtId="0" fontId="31" fillId="0" borderId="4" xfId="0" applyFont="1" applyFill="1" applyBorder="1"/>
    <xf numFmtId="0" fontId="24" fillId="2" borderId="1" xfId="0" applyFont="1" applyFill="1" applyBorder="1" applyAlignment="1">
      <alignment horizontal="center"/>
    </xf>
    <xf numFmtId="0" fontId="34" fillId="3" borderId="5" xfId="0" applyFont="1" applyFill="1" applyBorder="1" applyAlignment="1"/>
    <xf numFmtId="0" fontId="23" fillId="3" borderId="5" xfId="0" applyFont="1" applyFill="1" applyBorder="1" applyAlignment="1"/>
    <xf numFmtId="0" fontId="0" fillId="0" borderId="0" xfId="0" applyFill="1" applyAlignment="1"/>
    <xf numFmtId="3" fontId="15" fillId="0" borderId="1" xfId="0" applyNumberFormat="1" applyFont="1" applyBorder="1" applyAlignment="1">
      <alignment horizontal="right" wrapText="1"/>
    </xf>
    <xf numFmtId="0" fontId="4" fillId="0" borderId="0" xfId="7" applyFont="1" applyFill="1"/>
    <xf numFmtId="0" fontId="33" fillId="0" borderId="1" xfId="7" applyFont="1" applyFill="1" applyBorder="1"/>
    <xf numFmtId="0" fontId="14" fillId="0" borderId="0" xfId="7" applyFont="1" applyFill="1"/>
    <xf numFmtId="0" fontId="33" fillId="0" borderId="0" xfId="7" applyFont="1" applyFill="1" applyBorder="1"/>
    <xf numFmtId="165" fontId="36" fillId="0" borderId="0" xfId="2" applyNumberFormat="1" applyFont="1" applyFill="1" applyBorder="1"/>
    <xf numFmtId="164" fontId="24" fillId="0" borderId="0" xfId="12" applyNumberFormat="1" applyFont="1" applyFill="1" applyBorder="1"/>
    <xf numFmtId="0" fontId="25" fillId="0" borderId="0" xfId="7" applyFont="1" applyFill="1"/>
    <xf numFmtId="0" fontId="31" fillId="0" borderId="1" xfId="7" applyFont="1" applyFill="1" applyBorder="1"/>
    <xf numFmtId="165" fontId="12" fillId="0" borderId="1" xfId="2" applyNumberFormat="1" applyFont="1" applyFill="1" applyBorder="1" applyAlignment="1">
      <alignment horizontal="right"/>
    </xf>
    <xf numFmtId="165" fontId="36" fillId="0" borderId="1" xfId="2" applyNumberFormat="1" applyFont="1" applyFill="1" applyBorder="1"/>
    <xf numFmtId="164" fontId="37" fillId="0" borderId="3" xfId="12" applyNumberFormat="1" applyFont="1" applyFill="1" applyBorder="1" applyAlignment="1"/>
    <xf numFmtId="164" fontId="37" fillId="0" borderId="1" xfId="12" applyNumberFormat="1" applyFont="1" applyFill="1" applyBorder="1" applyAlignment="1">
      <alignment horizontal="right"/>
    </xf>
    <xf numFmtId="164" fontId="36" fillId="0" borderId="1" xfId="12" applyNumberFormat="1" applyFont="1" applyFill="1" applyBorder="1"/>
    <xf numFmtId="3" fontId="12" fillId="0" borderId="1" xfId="0" applyNumberFormat="1" applyFont="1" applyFill="1" applyBorder="1" applyAlignment="1">
      <alignment horizontal="right" wrapText="1"/>
    </xf>
    <xf numFmtId="3" fontId="15" fillId="0" borderId="1" xfId="0" applyNumberFormat="1" applyFont="1" applyFill="1" applyBorder="1" applyAlignment="1">
      <alignment horizontal="right" wrapText="1"/>
    </xf>
    <xf numFmtId="0" fontId="34" fillId="3" borderId="1" xfId="0" applyFont="1" applyFill="1" applyBorder="1" applyAlignment="1">
      <alignment horizontal="center"/>
    </xf>
    <xf numFmtId="0" fontId="31" fillId="0" borderId="0" xfId="0" applyFont="1" applyAlignment="1"/>
    <xf numFmtId="0" fontId="38" fillId="0" borderId="0" xfId="0" applyFont="1" applyAlignment="1"/>
    <xf numFmtId="0" fontId="39" fillId="0" borderId="0" xfId="3" applyFont="1" applyAlignment="1" applyProtection="1">
      <alignment horizontal="left"/>
    </xf>
    <xf numFmtId="164" fontId="31" fillId="0" borderId="0" xfId="0" applyNumberFormat="1" applyFont="1" applyAlignment="1"/>
    <xf numFmtId="0" fontId="31" fillId="0" borderId="0" xfId="0" applyFont="1"/>
    <xf numFmtId="164" fontId="40" fillId="0" borderId="0" xfId="0" applyNumberFormat="1" applyFont="1" applyAlignment="1"/>
    <xf numFmtId="2" fontId="31" fillId="0" borderId="0" xfId="0" applyNumberFormat="1" applyFont="1" applyAlignment="1"/>
    <xf numFmtId="0" fontId="31" fillId="2" borderId="1" xfId="0" applyFont="1" applyFill="1" applyBorder="1" applyAlignment="1"/>
    <xf numFmtId="0" fontId="41" fillId="0" borderId="0" xfId="0" applyFont="1"/>
    <xf numFmtId="0" fontId="31" fillId="0" borderId="0" xfId="0" applyFont="1" applyBorder="1"/>
    <xf numFmtId="3" fontId="31" fillId="0" borderId="0" xfId="0" applyNumberFormat="1" applyFont="1" applyBorder="1"/>
    <xf numFmtId="0" fontId="31" fillId="0" borderId="0" xfId="0" applyFont="1" applyAlignment="1">
      <alignment horizontal="left"/>
    </xf>
    <xf numFmtId="3" fontId="31" fillId="0" borderId="0" xfId="0" applyNumberFormat="1" applyFont="1" applyAlignment="1"/>
    <xf numFmtId="3" fontId="42" fillId="0" borderId="1" xfId="0" applyNumberFormat="1" applyFont="1" applyBorder="1"/>
    <xf numFmtId="3" fontId="33" fillId="0" borderId="1" xfId="0" applyNumberFormat="1" applyFont="1" applyBorder="1"/>
    <xf numFmtId="3" fontId="33" fillId="0" borderId="1" xfId="0" applyNumberFormat="1" applyFont="1" applyFill="1" applyBorder="1"/>
    <xf numFmtId="0" fontId="40" fillId="0" borderId="0" xfId="0" applyFont="1" applyAlignment="1">
      <alignment horizontal="left"/>
    </xf>
    <xf numFmtId="0" fontId="31" fillId="0" borderId="2" xfId="0" applyFont="1" applyBorder="1"/>
    <xf numFmtId="0" fontId="40" fillId="0" borderId="0" xfId="0" applyFont="1" applyFill="1" applyAlignment="1"/>
    <xf numFmtId="0" fontId="31" fillId="0" borderId="0" xfId="0" applyFont="1" applyFill="1" applyAlignment="1"/>
    <xf numFmtId="164" fontId="31" fillId="0" borderId="0" xfId="0" applyNumberFormat="1" applyFont="1" applyFill="1" applyAlignment="1"/>
    <xf numFmtId="0" fontId="39" fillId="0" borderId="0" xfId="3" applyFont="1" applyAlignment="1" applyProtection="1"/>
    <xf numFmtId="0" fontId="31" fillId="0" borderId="0" xfId="0" applyFont="1" applyFill="1"/>
    <xf numFmtId="0" fontId="40" fillId="0" borderId="0" xfId="0" applyFont="1" applyFill="1"/>
    <xf numFmtId="0" fontId="4" fillId="0" borderId="0" xfId="0" applyFont="1"/>
    <xf numFmtId="0" fontId="4" fillId="0" borderId="0" xfId="0" applyFont="1" applyAlignment="1"/>
    <xf numFmtId="0" fontId="35" fillId="0" borderId="0" xfId="0" applyFont="1" applyAlignment="1"/>
    <xf numFmtId="0" fontId="35" fillId="0" borderId="0" xfId="0" applyFont="1"/>
    <xf numFmtId="0" fontId="35" fillId="0" borderId="0" xfId="0" applyFont="1" applyBorder="1" applyAlignment="1"/>
    <xf numFmtId="0" fontId="14" fillId="0" borderId="0" xfId="0" applyFont="1" applyFill="1"/>
    <xf numFmtId="164" fontId="0" fillId="0" borderId="0" xfId="0" applyNumberFormat="1" applyFill="1" applyAlignment="1"/>
    <xf numFmtId="0" fontId="41" fillId="0" borderId="0" xfId="0" applyFont="1" applyFill="1"/>
    <xf numFmtId="3" fontId="13" fillId="0" borderId="0" xfId="0" applyNumberFormat="1" applyFont="1" applyBorder="1" applyAlignment="1">
      <alignment horizontal="right" wrapText="1"/>
    </xf>
    <xf numFmtId="0" fontId="29" fillId="2" borderId="1" xfId="0" applyFont="1" applyFill="1" applyBorder="1" applyAlignment="1">
      <alignment horizontal="center"/>
    </xf>
    <xf numFmtId="3" fontId="31" fillId="0" borderId="1" xfId="0" applyNumberFormat="1" applyFont="1" applyBorder="1" applyAlignment="1">
      <alignment vertical="center"/>
    </xf>
    <xf numFmtId="164" fontId="31" fillId="0" borderId="1" xfId="0" applyNumberFormat="1" applyFont="1" applyBorder="1" applyAlignment="1">
      <alignment vertical="center"/>
    </xf>
    <xf numFmtId="3" fontId="33" fillId="0" borderId="1" xfId="0" applyNumberFormat="1" applyFont="1" applyBorder="1" applyAlignment="1">
      <alignment vertical="center"/>
    </xf>
    <xf numFmtId="0" fontId="22" fillId="2" borderId="1" xfId="0" applyFont="1" applyFill="1" applyBorder="1" applyAlignment="1">
      <alignment horizontal="center" vertical="center"/>
    </xf>
    <xf numFmtId="0" fontId="16" fillId="0" borderId="6" xfId="0" applyFont="1" applyBorder="1" applyAlignment="1">
      <alignment vertical="top" wrapText="1"/>
    </xf>
    <xf numFmtId="0" fontId="17" fillId="0" borderId="7" xfId="0" applyFont="1" applyBorder="1" applyAlignment="1">
      <alignment vertical="top" wrapText="1"/>
    </xf>
    <xf numFmtId="0" fontId="16" fillId="0" borderId="7" xfId="0" applyFont="1" applyBorder="1" applyAlignment="1">
      <alignment vertical="top" wrapText="1"/>
    </xf>
    <xf numFmtId="0" fontId="16" fillId="0" borderId="8" xfId="0" applyFont="1" applyBorder="1" applyAlignment="1">
      <alignment vertical="top" wrapText="1"/>
    </xf>
    <xf numFmtId="0" fontId="17" fillId="0" borderId="9" xfId="0" applyFont="1" applyBorder="1" applyAlignment="1">
      <alignment vertical="top" wrapText="1"/>
    </xf>
    <xf numFmtId="0" fontId="16" fillId="0" borderId="9" xfId="0" applyFont="1" applyBorder="1" applyAlignment="1">
      <alignment vertical="top" wrapText="1"/>
    </xf>
    <xf numFmtId="0" fontId="0" fillId="0" borderId="9" xfId="0" applyBorder="1" applyAlignment="1">
      <alignment vertical="top" wrapText="1"/>
    </xf>
    <xf numFmtId="0" fontId="24" fillId="2" borderId="1" xfId="0" applyFont="1" applyFill="1" applyBorder="1" applyAlignment="1">
      <alignment horizontal="center" wrapText="1"/>
    </xf>
    <xf numFmtId="1" fontId="31" fillId="0" borderId="1" xfId="0" applyNumberFormat="1" applyFont="1" applyBorder="1"/>
    <xf numFmtId="165" fontId="0" fillId="0" borderId="0" xfId="0" applyNumberFormat="1"/>
    <xf numFmtId="3" fontId="31" fillId="0" borderId="1" xfId="0" applyNumberFormat="1" applyFont="1" applyFill="1" applyBorder="1"/>
    <xf numFmtId="0" fontId="24" fillId="2" borderId="1" xfId="0" applyFont="1" applyFill="1" applyBorder="1" applyAlignment="1">
      <alignment horizontal="center" wrapText="1"/>
    </xf>
    <xf numFmtId="164" fontId="0" fillId="0" borderId="0" xfId="11" applyNumberFormat="1" applyFont="1" applyBorder="1"/>
    <xf numFmtId="3" fontId="31" fillId="0" borderId="1" xfId="0" applyNumberFormat="1" applyFont="1" applyBorder="1" applyAlignment="1"/>
    <xf numFmtId="164" fontId="31" fillId="0" borderId="1" xfId="0" applyNumberFormat="1" applyFont="1" applyBorder="1" applyAlignment="1"/>
    <xf numFmtId="165" fontId="31" fillId="0" borderId="1" xfId="1" applyNumberFormat="1" applyFont="1" applyBorder="1"/>
    <xf numFmtId="165" fontId="31" fillId="0" borderId="0" xfId="1" applyNumberFormat="1" applyFont="1" applyBorder="1"/>
    <xf numFmtId="164" fontId="42" fillId="0" borderId="1" xfId="0" applyNumberFormat="1" applyFont="1" applyBorder="1"/>
    <xf numFmtId="0" fontId="18" fillId="0" borderId="0" xfId="0" applyFont="1" applyBorder="1"/>
    <xf numFmtId="0" fontId="19" fillId="0" borderId="0" xfId="0" applyFont="1" applyBorder="1"/>
    <xf numFmtId="0" fontId="18" fillId="0" borderId="0" xfId="0" applyFont="1"/>
    <xf numFmtId="1" fontId="31" fillId="0" borderId="0" xfId="0" applyNumberFormat="1" applyFont="1" applyAlignment="1"/>
    <xf numFmtId="0" fontId="0" fillId="0" borderId="0" xfId="0" applyNumberFormat="1" applyBorder="1" applyAlignment="1">
      <alignment horizontal="center"/>
    </xf>
    <xf numFmtId="49" fontId="0" fillId="0" borderId="0" xfId="0" applyNumberFormat="1" applyBorder="1" applyAlignment="1">
      <alignment horizontal="center"/>
    </xf>
    <xf numFmtId="0" fontId="0" fillId="0" borderId="0" xfId="0" applyBorder="1" applyAlignment="1">
      <alignment horizontal="center"/>
    </xf>
    <xf numFmtId="49" fontId="0" fillId="0" borderId="0" xfId="0" applyNumberFormat="1" applyBorder="1" applyAlignment="1">
      <alignment horizontal="right" vertical="center"/>
    </xf>
    <xf numFmtId="0" fontId="0" fillId="0" borderId="0" xfId="0" applyNumberFormat="1" applyBorder="1" applyAlignment="1"/>
    <xf numFmtId="0" fontId="0" fillId="0" borderId="0" xfId="0" applyNumberFormat="1" applyBorder="1" applyAlignment="1">
      <alignment horizontal="right"/>
    </xf>
    <xf numFmtId="165" fontId="14" fillId="0" borderId="0" xfId="7" applyNumberFormat="1" applyFont="1" applyFill="1"/>
    <xf numFmtId="0" fontId="35" fillId="0" borderId="0" xfId="0" applyFont="1" applyBorder="1" applyAlignment="1">
      <alignment horizontal="left"/>
    </xf>
    <xf numFmtId="0" fontId="35" fillId="0" borderId="0" xfId="0" applyFont="1" applyBorder="1"/>
    <xf numFmtId="3" fontId="13" fillId="0" borderId="1" xfId="0" applyNumberFormat="1" applyFont="1" applyFill="1" applyBorder="1" applyAlignment="1">
      <alignment horizontal="right" wrapText="1"/>
    </xf>
    <xf numFmtId="3" fontId="20" fillId="0" borderId="0" xfId="0" applyNumberFormat="1" applyFont="1" applyBorder="1" applyAlignment="1">
      <alignment horizontal="right" vertical="center" wrapText="1"/>
    </xf>
    <xf numFmtId="3" fontId="21" fillId="0" borderId="0" xfId="0" applyNumberFormat="1" applyFont="1" applyBorder="1" applyAlignment="1">
      <alignment horizontal="right" vertical="center" wrapText="1"/>
    </xf>
    <xf numFmtId="0" fontId="21" fillId="0" borderId="0" xfId="0" applyFont="1" applyBorder="1" applyAlignment="1">
      <alignment horizontal="right" vertical="center" wrapText="1"/>
    </xf>
    <xf numFmtId="2" fontId="0" fillId="0" borderId="0" xfId="0" applyNumberFormat="1" applyAlignment="1"/>
    <xf numFmtId="9" fontId="0" fillId="0" borderId="0" xfId="11" applyFont="1" applyBorder="1"/>
    <xf numFmtId="9" fontId="8" fillId="0" borderId="0" xfId="11" applyFont="1" applyBorder="1"/>
    <xf numFmtId="9" fontId="0" fillId="0" borderId="0" xfId="11" applyFont="1"/>
    <xf numFmtId="3" fontId="15" fillId="0" borderId="1" xfId="0" applyNumberFormat="1" applyFont="1" applyFill="1" applyBorder="1" applyAlignment="1">
      <alignment horizontal="left" wrapText="1" indent="1"/>
    </xf>
    <xf numFmtId="3" fontId="0" fillId="0" borderId="0" xfId="0" applyNumberFormat="1" applyBorder="1" applyAlignment="1"/>
    <xf numFmtId="0" fontId="8" fillId="0" borderId="0" xfId="0" applyFont="1" applyBorder="1" applyAlignment="1">
      <alignment horizontal="center"/>
    </xf>
    <xf numFmtId="0" fontId="0" fillId="0" borderId="0" xfId="0" applyBorder="1" applyAlignment="1">
      <alignment horizontal="left"/>
    </xf>
    <xf numFmtId="0" fontId="0" fillId="0" borderId="0" xfId="0" applyBorder="1" applyAlignment="1">
      <alignment horizontal="right"/>
    </xf>
    <xf numFmtId="0" fontId="24" fillId="0" borderId="0" xfId="0" applyFont="1" applyBorder="1" applyAlignment="1"/>
    <xf numFmtId="49" fontId="0" fillId="0" borderId="0" xfId="0" applyNumberFormat="1" applyBorder="1" applyAlignment="1">
      <alignment horizontal="right" vertical="top"/>
    </xf>
    <xf numFmtId="3" fontId="42" fillId="0" borderId="1" xfId="0" applyNumberFormat="1" applyFont="1" applyFill="1" applyBorder="1"/>
    <xf numFmtId="3" fontId="42" fillId="0" borderId="0" xfId="0" applyNumberFormat="1" applyFont="1" applyFill="1" applyBorder="1"/>
    <xf numFmtId="164" fontId="42" fillId="0" borderId="1" xfId="0" applyNumberFormat="1" applyFont="1" applyFill="1" applyBorder="1"/>
    <xf numFmtId="0" fontId="32" fillId="0" borderId="1" xfId="0" applyFont="1" applyFill="1" applyBorder="1" applyAlignment="1">
      <alignment horizontal="left" indent="1"/>
    </xf>
    <xf numFmtId="3" fontId="31" fillId="0" borderId="10" xfId="0" applyNumberFormat="1" applyFont="1" applyFill="1" applyBorder="1"/>
    <xf numFmtId="0" fontId="17" fillId="0" borderId="11" xfId="0" applyFont="1" applyBorder="1" applyAlignment="1">
      <alignment vertical="top" wrapText="1"/>
    </xf>
    <xf numFmtId="0" fontId="0" fillId="0" borderId="12" xfId="0" applyBorder="1" applyAlignment="1">
      <alignment vertical="top" wrapText="1"/>
    </xf>
    <xf numFmtId="0" fontId="17" fillId="0" borderId="0" xfId="0" applyFont="1" applyBorder="1" applyAlignment="1">
      <alignment vertical="top" wrapText="1"/>
    </xf>
    <xf numFmtId="0" fontId="24" fillId="2" borderId="1" xfId="0" applyFont="1" applyFill="1" applyBorder="1" applyAlignment="1">
      <alignment horizontal="center" wrapText="1"/>
    </xf>
    <xf numFmtId="0" fontId="0" fillId="0" borderId="1" xfId="0" applyBorder="1" applyAlignment="1"/>
    <xf numFmtId="164" fontId="31" fillId="0" borderId="0" xfId="0" applyNumberFormat="1" applyFont="1" applyBorder="1"/>
    <xf numFmtId="164" fontId="31" fillId="0" borderId="1" xfId="11" applyNumberFormat="1" applyFont="1" applyBorder="1"/>
    <xf numFmtId="0" fontId="4" fillId="0" borderId="0" xfId="0" applyFont="1" applyBorder="1"/>
    <xf numFmtId="0" fontId="2" fillId="2" borderId="1" xfId="0" applyFont="1" applyFill="1" applyBorder="1" applyAlignment="1">
      <alignment horizontal="center" vertical="center"/>
    </xf>
    <xf numFmtId="0" fontId="41" fillId="0" borderId="0" xfId="0" applyFont="1" applyAlignment="1">
      <alignment horizontal="left"/>
    </xf>
    <xf numFmtId="0" fontId="1" fillId="2" borderId="1" xfId="0" applyFont="1" applyFill="1" applyBorder="1" applyAlignment="1">
      <alignment horizontal="center" vertical="center"/>
    </xf>
    <xf numFmtId="0" fontId="24" fillId="2" borderId="2" xfId="0" applyFont="1" applyFill="1" applyBorder="1" applyAlignment="1">
      <alignment horizontal="center" vertical="center" wrapText="1"/>
    </xf>
    <xf numFmtId="0" fontId="0" fillId="0" borderId="14" xfId="0" applyFill="1" applyBorder="1"/>
    <xf numFmtId="165" fontId="31" fillId="0" borderId="2" xfId="1" applyNumberFormat="1" applyFont="1" applyBorder="1"/>
    <xf numFmtId="165" fontId="36" fillId="0" borderId="1" xfId="0" applyNumberFormat="1" applyFont="1" applyBorder="1"/>
    <xf numFmtId="165" fontId="36" fillId="0" borderId="2" xfId="0" applyNumberFormat="1" applyFont="1" applyBorder="1"/>
    <xf numFmtId="0" fontId="8" fillId="0" borderId="0" xfId="0" applyFont="1" applyFill="1" applyAlignment="1"/>
    <xf numFmtId="0" fontId="7" fillId="0" borderId="0" xfId="3" applyAlignment="1" applyProtection="1"/>
    <xf numFmtId="0" fontId="7" fillId="0" borderId="0" xfId="3" applyFill="1" applyAlignment="1" applyProtection="1"/>
    <xf numFmtId="0" fontId="24" fillId="2" borderId="1" xfId="0" applyFont="1" applyFill="1" applyBorder="1" applyAlignment="1">
      <alignment horizontal="center" wrapText="1"/>
    </xf>
    <xf numFmtId="0" fontId="31" fillId="0" borderId="1" xfId="0" applyFont="1" applyBorder="1" applyAlignment="1"/>
    <xf numFmtId="49" fontId="4" fillId="0" borderId="0" xfId="0" applyNumberFormat="1" applyFont="1" applyBorder="1" applyAlignment="1">
      <alignment horizontal="right" vertical="top"/>
    </xf>
    <xf numFmtId="3" fontId="31" fillId="0" borderId="4" xfId="0" applyNumberFormat="1" applyFont="1" applyFill="1" applyBorder="1"/>
    <xf numFmtId="3" fontId="41" fillId="0" borderId="0" xfId="0" applyNumberFormat="1" applyFont="1"/>
    <xf numFmtId="3" fontId="31" fillId="0" borderId="0" xfId="0" applyNumberFormat="1" applyFont="1"/>
    <xf numFmtId="0" fontId="0" fillId="0" borderId="0" xfId="0" applyFill="1" applyBorder="1" applyAlignment="1">
      <alignment horizontal="center"/>
    </xf>
    <xf numFmtId="0" fontId="4" fillId="0" borderId="0" xfId="0" applyFont="1" applyFill="1" applyBorder="1" applyAlignment="1"/>
    <xf numFmtId="0" fontId="4" fillId="0" borderId="0" xfId="0" applyFont="1" applyFill="1" applyBorder="1"/>
    <xf numFmtId="3" fontId="0" fillId="0" borderId="0" xfId="0" applyNumberFormat="1" applyFill="1" applyBorder="1" applyAlignment="1"/>
    <xf numFmtId="3" fontId="8" fillId="0" borderId="0" xfId="0" applyNumberFormat="1" applyFont="1" applyFill="1" applyBorder="1" applyAlignment="1"/>
    <xf numFmtId="0" fontId="8" fillId="0" borderId="0" xfId="0" applyFont="1" applyFill="1" applyBorder="1"/>
    <xf numFmtId="3" fontId="8" fillId="0" borderId="0" xfId="0" applyNumberFormat="1" applyFont="1" applyFill="1" applyBorder="1" applyAlignment="1">
      <alignment horizontal="center"/>
    </xf>
    <xf numFmtId="0" fontId="58" fillId="0" borderId="0" xfId="0" applyFont="1" applyAlignment="1"/>
    <xf numFmtId="0" fontId="58" fillId="0" borderId="0" xfId="0" applyFont="1"/>
    <xf numFmtId="0" fontId="23" fillId="3" borderId="5" xfId="0" applyFont="1" applyFill="1" applyBorder="1" applyAlignment="1">
      <alignment horizontal="center"/>
    </xf>
    <xf numFmtId="0" fontId="23" fillId="3" borderId="2" xfId="0" applyFont="1" applyFill="1" applyBorder="1" applyAlignment="1">
      <alignment horizontal="center"/>
    </xf>
    <xf numFmtId="0" fontId="23" fillId="3" borderId="15" xfId="0" applyFont="1" applyFill="1" applyBorder="1" applyAlignment="1">
      <alignment horizontal="center"/>
    </xf>
    <xf numFmtId="0" fontId="23" fillId="3" borderId="13" xfId="0" applyFont="1" applyFill="1" applyBorder="1" applyAlignment="1">
      <alignment horizontal="center"/>
    </xf>
    <xf numFmtId="0" fontId="24" fillId="2" borderId="1" xfId="0" applyFont="1" applyFill="1" applyBorder="1" applyAlignment="1">
      <alignment horizontal="center" wrapText="1"/>
    </xf>
    <xf numFmtId="0" fontId="29" fillId="2" borderId="2" xfId="0" applyFont="1" applyFill="1" applyBorder="1" applyAlignment="1">
      <alignment horizontal="center" vertical="center"/>
    </xf>
    <xf numFmtId="0" fontId="29" fillId="2" borderId="5" xfId="0" applyFont="1" applyFill="1" applyBorder="1" applyAlignment="1">
      <alignment horizontal="center" vertical="center"/>
    </xf>
    <xf numFmtId="0" fontId="29" fillId="2" borderId="15" xfId="0" applyFont="1" applyFill="1" applyBorder="1" applyAlignment="1">
      <alignment horizontal="center" vertical="center"/>
    </xf>
    <xf numFmtId="0" fontId="27" fillId="0" borderId="0" xfId="0" applyFont="1" applyBorder="1" applyAlignment="1">
      <alignment horizontal="left"/>
    </xf>
    <xf numFmtId="0" fontId="27" fillId="0" borderId="13" xfId="0" applyFont="1" applyBorder="1" applyAlignment="1">
      <alignment horizontal="left"/>
    </xf>
    <xf numFmtId="0" fontId="23" fillId="3" borderId="26" xfId="0" applyFont="1" applyFill="1" applyBorder="1" applyAlignment="1">
      <alignment horizontal="center"/>
    </xf>
    <xf numFmtId="0" fontId="23" fillId="3" borderId="25" xfId="0" applyFont="1" applyFill="1" applyBorder="1" applyAlignment="1">
      <alignment horizontal="center"/>
    </xf>
    <xf numFmtId="0" fontId="23" fillId="3" borderId="1" xfId="0" applyFont="1" applyFill="1" applyBorder="1" applyAlignment="1">
      <alignment horizontal="center"/>
    </xf>
    <xf numFmtId="0" fontId="23" fillId="3" borderId="2" xfId="0" applyFont="1" applyFill="1" applyBorder="1" applyAlignment="1">
      <alignment horizontal="center" vertical="center"/>
    </xf>
    <xf numFmtId="0" fontId="23" fillId="3" borderId="5" xfId="0" applyFont="1" applyFill="1" applyBorder="1" applyAlignment="1">
      <alignment horizontal="center" vertical="center"/>
    </xf>
    <xf numFmtId="49" fontId="0" fillId="0" borderId="0" xfId="0" applyNumberFormat="1" applyBorder="1" applyAlignment="1">
      <alignment horizontal="right"/>
    </xf>
    <xf numFmtId="0" fontId="23" fillId="3" borderId="1" xfId="0" applyFont="1" applyFill="1" applyBorder="1" applyAlignment="1">
      <alignment horizontal="center" vertical="center"/>
    </xf>
    <xf numFmtId="0" fontId="23" fillId="3" borderId="15" xfId="0" applyFont="1" applyFill="1" applyBorder="1" applyAlignment="1">
      <alignment horizontal="center" vertical="center"/>
    </xf>
    <xf numFmtId="0" fontId="23" fillId="3" borderId="25" xfId="0" applyFont="1" applyFill="1" applyBorder="1" applyAlignment="1">
      <alignment horizontal="center" vertical="center"/>
    </xf>
    <xf numFmtId="0" fontId="23" fillId="3" borderId="13" xfId="0" applyFont="1" applyFill="1" applyBorder="1" applyAlignment="1">
      <alignment horizontal="center" vertical="center"/>
    </xf>
    <xf numFmtId="0" fontId="24" fillId="2" borderId="2" xfId="0" applyFont="1" applyFill="1" applyBorder="1" applyAlignment="1">
      <alignment horizontal="center" vertical="center"/>
    </xf>
    <xf numFmtId="0" fontId="24" fillId="2" borderId="5" xfId="0" applyFont="1" applyFill="1" applyBorder="1" applyAlignment="1">
      <alignment horizontal="center" vertical="center"/>
    </xf>
    <xf numFmtId="0" fontId="24" fillId="2" borderId="15" xfId="0" applyFont="1" applyFill="1" applyBorder="1" applyAlignment="1">
      <alignment horizontal="center" vertical="center"/>
    </xf>
    <xf numFmtId="0" fontId="23" fillId="3" borderId="14" xfId="0" applyFont="1" applyFill="1" applyBorder="1" applyAlignment="1">
      <alignment horizontal="center" vertical="center"/>
    </xf>
    <xf numFmtId="0" fontId="23" fillId="3" borderId="0" xfId="0" applyFont="1" applyFill="1" applyBorder="1" applyAlignment="1">
      <alignment horizontal="center" vertical="center"/>
    </xf>
    <xf numFmtId="0" fontId="14" fillId="0" borderId="0" xfId="0" applyFont="1" applyAlignment="1">
      <alignment horizontal="left" vertical="center" wrapText="1"/>
    </xf>
  </cellXfs>
  <cellStyles count="70">
    <cellStyle name="20% - Accent1" xfId="31" builtinId="30" customBuiltin="1"/>
    <cellStyle name="20% - Accent2" xfId="35" builtinId="34" customBuiltin="1"/>
    <cellStyle name="20% - Accent3" xfId="39" builtinId="38" customBuiltin="1"/>
    <cellStyle name="20% - Accent4" xfId="43" builtinId="42" customBuiltin="1"/>
    <cellStyle name="20% - Accent5" xfId="47" builtinId="46" customBuiltin="1"/>
    <cellStyle name="20% - Accent6" xfId="51" builtinId="50" customBuiltin="1"/>
    <cellStyle name="40% - Accent1" xfId="32" builtinId="31" customBuiltin="1"/>
    <cellStyle name="40% - Accent2" xfId="36" builtinId="35" customBuiltin="1"/>
    <cellStyle name="40% - Accent3" xfId="40" builtinId="39" customBuiltin="1"/>
    <cellStyle name="40% - Accent4" xfId="44" builtinId="43" customBuiltin="1"/>
    <cellStyle name="40% - Accent5" xfId="48" builtinId="47" customBuiltin="1"/>
    <cellStyle name="40% - Accent6" xfId="52" builtinId="51" customBuiltin="1"/>
    <cellStyle name="60% - Accent1" xfId="33" builtinId="32" customBuiltin="1"/>
    <cellStyle name="60% - Accent2" xfId="37" builtinId="36" customBuiltin="1"/>
    <cellStyle name="60% - Accent3" xfId="41" builtinId="40" customBuiltin="1"/>
    <cellStyle name="60% - Accent4" xfId="45" builtinId="44" customBuiltin="1"/>
    <cellStyle name="60% - Accent5" xfId="49" builtinId="48" customBuiltin="1"/>
    <cellStyle name="60% - Accent6" xfId="53" builtinId="52" customBuiltin="1"/>
    <cellStyle name="Accent1" xfId="30" builtinId="29" customBuiltin="1"/>
    <cellStyle name="Accent2" xfId="34" builtinId="33" customBuiltin="1"/>
    <cellStyle name="Accent3" xfId="38" builtinId="37" customBuiltin="1"/>
    <cellStyle name="Accent4" xfId="42" builtinId="41" customBuiltin="1"/>
    <cellStyle name="Accent5" xfId="46" builtinId="45" customBuiltin="1"/>
    <cellStyle name="Accent6" xfId="50" builtinId="49" customBuiltin="1"/>
    <cellStyle name="Bad" xfId="20" builtinId="27" customBuiltin="1"/>
    <cellStyle name="Calculation" xfId="24" builtinId="22" customBuiltin="1"/>
    <cellStyle name="cells" xfId="62"/>
    <cellStyle name="Check Cell" xfId="26" builtinId="23" customBuiltin="1"/>
    <cellStyle name="column field" xfId="60"/>
    <cellStyle name="Comma" xfId="1" builtinId="3"/>
    <cellStyle name="Comma 2" xfId="2"/>
    <cellStyle name="Comma 3" xfId="67"/>
    <cellStyle name="Comma 4" xfId="55"/>
    <cellStyle name="Explanatory Text" xfId="28" builtinId="53" customBuiltin="1"/>
    <cellStyle name="field names" xfId="59"/>
    <cellStyle name="footer" xfId="63"/>
    <cellStyle name="Good" xfId="19" builtinId="26" customBuiltin="1"/>
    <cellStyle name="heading" xfId="58"/>
    <cellStyle name="Heading 1" xfId="15" builtinId="16" customBuiltin="1"/>
    <cellStyle name="Heading 2" xfId="16" builtinId="17" customBuiltin="1"/>
    <cellStyle name="Heading 3" xfId="17" builtinId="18" customBuiltin="1"/>
    <cellStyle name="Heading 4" xfId="18" builtinId="19" customBuiltin="1"/>
    <cellStyle name="Hyperlink" xfId="3" builtinId="8"/>
    <cellStyle name="Hyperlink 2" xfId="4"/>
    <cellStyle name="Hyperlink 2 2" xfId="5"/>
    <cellStyle name="Hyperlink 3" xfId="6"/>
    <cellStyle name="Input" xfId="22" builtinId="20" customBuiltin="1"/>
    <cellStyle name="Linked Cell" xfId="25" builtinId="24" customBuiltin="1"/>
    <cellStyle name="Neutral" xfId="21" builtinId="28" customBuiltin="1"/>
    <cellStyle name="Normal" xfId="0" builtinId="0"/>
    <cellStyle name="Normal 2" xfId="7"/>
    <cellStyle name="Normal 2 2" xfId="64"/>
    <cellStyle name="Normal 2 3" xfId="65"/>
    <cellStyle name="Normal 3" xfId="8"/>
    <cellStyle name="Normal 3 2" xfId="9"/>
    <cellStyle name="Normal 4" xfId="10"/>
    <cellStyle name="Normal 5" xfId="13"/>
    <cellStyle name="Normal 5 2" xfId="69"/>
    <cellStyle name="Normal 6" xfId="54"/>
    <cellStyle name="Note 2" xfId="57"/>
    <cellStyle name="Output" xfId="23" builtinId="21" customBuiltin="1"/>
    <cellStyle name="Percent" xfId="11" builtinId="5"/>
    <cellStyle name="Percent 2" xfId="12"/>
    <cellStyle name="Percent 3" xfId="68"/>
    <cellStyle name="Percent 4" xfId="56"/>
    <cellStyle name="rowfield" xfId="61"/>
    <cellStyle name="rowfield 2" xfId="66"/>
    <cellStyle name="Title" xfId="14" builtinId="15" customBuiltin="1"/>
    <cellStyle name="Total" xfId="29" builtinId="25" customBuiltin="1"/>
    <cellStyle name="Warning Text" xfId="27"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customXml" Target="../customXml/item4.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theme" Target="theme/theme1.xml"/><Relationship Id="rId14" Type="http://schemas.openxmlformats.org/officeDocument/2006/relationships/styles" Target="styles.xml"/><Relationship Id="rId15" Type="http://schemas.openxmlformats.org/officeDocument/2006/relationships/sharedStrings" Target="sharedStrings.xml"/><Relationship Id="rId16" Type="http://schemas.openxmlformats.org/officeDocument/2006/relationships/calcChain" Target="calcChain.xml"/><Relationship Id="rId17" Type="http://schemas.openxmlformats.org/officeDocument/2006/relationships/customXml" Target="../customXml/item1.xml"/><Relationship Id="rId18" Type="http://schemas.openxmlformats.org/officeDocument/2006/relationships/customXml" Target="../customXml/item2.xml"/><Relationship Id="rId19" Type="http://schemas.openxmlformats.org/officeDocument/2006/relationships/customXml" Target="../customXml/item3.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2:AH37"/>
  <sheetViews>
    <sheetView showGridLines="0" workbookViewId="0">
      <selection activeCell="J39" sqref="J39"/>
    </sheetView>
  </sheetViews>
  <sheetFormatPr baseColWidth="10" defaultColWidth="8.83203125" defaultRowHeight="13" x14ac:dyDescent="0.15"/>
  <cols>
    <col min="1" max="34" width="9.1640625" style="2" customWidth="1"/>
  </cols>
  <sheetData>
    <row r="2" spans="1:29" ht="25.5" customHeight="1" x14ac:dyDescent="0.3">
      <c r="A2" s="13" t="s">
        <v>55</v>
      </c>
      <c r="B2" s="8"/>
      <c r="D2" s="183"/>
      <c r="E2" s="183"/>
    </row>
    <row r="3" spans="1:29" ht="12.75" customHeight="1" x14ac:dyDescent="0.15">
      <c r="A3" s="9"/>
      <c r="B3" s="9"/>
    </row>
    <row r="4" spans="1:29" ht="18.75" customHeight="1" x14ac:dyDescent="0.25">
      <c r="A4" s="79" t="s">
        <v>188</v>
      </c>
    </row>
    <row r="5" spans="1:29" ht="12.75" customHeight="1" x14ac:dyDescent="0.2">
      <c r="M5" s="78"/>
      <c r="N5" s="78"/>
      <c r="O5" s="78"/>
      <c r="P5" s="78"/>
      <c r="Q5" s="78"/>
      <c r="R5" s="78"/>
      <c r="S5" s="78"/>
      <c r="T5" s="78"/>
      <c r="U5" s="78"/>
      <c r="V5" s="78"/>
      <c r="W5" s="78"/>
      <c r="X5" s="78"/>
      <c r="Y5" s="78"/>
      <c r="Z5" s="78"/>
      <c r="AA5" s="78"/>
      <c r="AB5" s="78"/>
      <c r="AC5" s="78"/>
    </row>
    <row r="6" spans="1:29" ht="12.75" customHeight="1" x14ac:dyDescent="0.2">
      <c r="M6" s="78"/>
      <c r="N6" s="78"/>
      <c r="O6" s="78"/>
      <c r="P6" s="78"/>
      <c r="Q6" s="78"/>
      <c r="R6" s="78"/>
      <c r="S6" s="78"/>
      <c r="T6" s="78"/>
      <c r="U6" s="78"/>
      <c r="V6" s="78"/>
      <c r="W6" s="78"/>
      <c r="X6" s="78"/>
      <c r="Y6" s="78"/>
      <c r="Z6" s="78"/>
      <c r="AA6" s="78"/>
      <c r="AB6" s="78"/>
      <c r="AC6" s="78"/>
    </row>
    <row r="7" spans="1:29" ht="12.75" customHeight="1" x14ac:dyDescent="0.15">
      <c r="C7" s="184" t="s">
        <v>192</v>
      </c>
      <c r="D7" s="184"/>
      <c r="E7" s="184"/>
      <c r="F7" s="184"/>
      <c r="G7" s="184"/>
      <c r="H7" s="184"/>
      <c r="I7" s="184"/>
      <c r="J7" s="184"/>
      <c r="K7" s="184"/>
      <c r="L7" s="184"/>
      <c r="M7" s="184"/>
      <c r="N7" s="184"/>
      <c r="O7" s="184"/>
      <c r="P7" s="184"/>
      <c r="Q7" s="184"/>
      <c r="R7" s="184"/>
      <c r="S7" s="184"/>
      <c r="T7" s="184"/>
      <c r="U7" s="184"/>
      <c r="V7" s="184"/>
      <c r="W7" s="184"/>
      <c r="X7" s="184"/>
      <c r="Y7" s="184"/>
      <c r="Z7" s="184"/>
      <c r="AA7" s="184"/>
      <c r="AB7" s="184"/>
      <c r="AC7" s="184"/>
    </row>
    <row r="8" spans="1:29" ht="12.75" customHeight="1" x14ac:dyDescent="0.15">
      <c r="C8" s="184" t="s">
        <v>193</v>
      </c>
      <c r="D8" s="184"/>
      <c r="E8" s="184"/>
      <c r="F8" s="184"/>
      <c r="G8" s="184"/>
      <c r="H8" s="184"/>
      <c r="I8" s="184"/>
      <c r="J8" s="184"/>
      <c r="K8" s="184"/>
      <c r="L8" s="184"/>
      <c r="M8" s="184"/>
      <c r="N8" s="184"/>
      <c r="O8" s="184"/>
      <c r="P8" s="184"/>
      <c r="Q8" s="184"/>
      <c r="R8" s="184"/>
      <c r="S8" s="184"/>
      <c r="T8" s="184"/>
      <c r="U8" s="184"/>
      <c r="V8" s="184"/>
      <c r="W8" s="184"/>
      <c r="X8" s="184"/>
      <c r="Y8" s="184"/>
      <c r="Z8" s="184"/>
      <c r="AA8" s="184"/>
      <c r="AB8" s="184"/>
      <c r="AC8" s="184"/>
    </row>
    <row r="9" spans="1:29" ht="12.75" customHeight="1" x14ac:dyDescent="0.15">
      <c r="C9" s="184" t="s">
        <v>189</v>
      </c>
      <c r="D9" s="184"/>
      <c r="E9" s="184"/>
      <c r="F9" s="184"/>
      <c r="G9" s="184"/>
      <c r="H9" s="184"/>
      <c r="I9" s="184"/>
      <c r="J9" s="184"/>
      <c r="K9" s="184"/>
      <c r="L9" s="184"/>
      <c r="M9" s="184"/>
      <c r="N9" s="184"/>
      <c r="O9" s="184"/>
      <c r="P9" s="184"/>
      <c r="Q9" s="184"/>
      <c r="R9" s="184"/>
      <c r="S9" s="184"/>
      <c r="T9" s="184"/>
      <c r="U9" s="184"/>
      <c r="V9" s="184"/>
      <c r="W9" s="184"/>
      <c r="X9" s="184"/>
      <c r="Y9" s="184"/>
      <c r="Z9" s="184"/>
      <c r="AA9" s="184"/>
      <c r="AB9" s="184"/>
      <c r="AC9" s="184"/>
    </row>
    <row r="10" spans="1:29" ht="12.75" customHeight="1" x14ac:dyDescent="0.15">
      <c r="A10" s="104"/>
      <c r="C10" s="184" t="s">
        <v>190</v>
      </c>
      <c r="D10" s="184"/>
      <c r="E10" s="184"/>
      <c r="F10" s="184"/>
      <c r="G10" s="184"/>
      <c r="H10" s="184"/>
      <c r="I10" s="184"/>
      <c r="J10" s="184"/>
      <c r="K10" s="184"/>
      <c r="L10" s="184"/>
      <c r="M10" s="184"/>
      <c r="N10" s="184"/>
      <c r="O10" s="184"/>
      <c r="P10" s="184"/>
      <c r="Q10" s="184"/>
      <c r="R10" s="184"/>
      <c r="S10" s="184"/>
      <c r="T10" s="184"/>
      <c r="U10" s="184"/>
      <c r="V10" s="184"/>
      <c r="W10" s="184"/>
      <c r="X10" s="184"/>
      <c r="Y10" s="184"/>
      <c r="Z10" s="184"/>
      <c r="AA10" s="184"/>
      <c r="AB10" s="184"/>
      <c r="AC10" s="184"/>
    </row>
    <row r="11" spans="1:29" ht="12.75" customHeight="1" x14ac:dyDescent="0.15">
      <c r="A11"/>
      <c r="C11" s="184" t="s">
        <v>191</v>
      </c>
      <c r="D11" s="184"/>
      <c r="E11" s="184"/>
      <c r="F11" s="184"/>
      <c r="G11" s="184"/>
      <c r="H11" s="184"/>
      <c r="I11" s="184"/>
      <c r="J11" s="184"/>
      <c r="K11" s="184"/>
      <c r="L11" s="184"/>
      <c r="M11" s="184"/>
      <c r="N11" s="184"/>
      <c r="O11" s="184"/>
      <c r="P11" s="184"/>
      <c r="Q11" s="184"/>
      <c r="R11" s="184"/>
      <c r="S11" s="184"/>
      <c r="T11" s="184"/>
      <c r="U11" s="184"/>
      <c r="V11" s="184"/>
      <c r="W11" s="184"/>
      <c r="X11" s="184"/>
      <c r="Y11" s="184"/>
      <c r="Z11" s="184"/>
      <c r="AA11" s="184"/>
      <c r="AB11" s="184"/>
      <c r="AC11" s="184"/>
    </row>
    <row r="12" spans="1:29" ht="12.75" customHeight="1" x14ac:dyDescent="0.15">
      <c r="A12"/>
      <c r="C12" s="184" t="s">
        <v>194</v>
      </c>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4"/>
      <c r="AB12" s="184"/>
      <c r="AC12" s="184"/>
    </row>
    <row r="13" spans="1:29" ht="12.75" customHeight="1" x14ac:dyDescent="0.15">
      <c r="A13"/>
      <c r="C13" s="184" t="s">
        <v>195</v>
      </c>
      <c r="D13" s="184"/>
      <c r="E13" s="184"/>
      <c r="F13" s="184"/>
      <c r="G13" s="184"/>
      <c r="H13" s="184"/>
      <c r="I13" s="184"/>
      <c r="J13" s="184"/>
      <c r="K13" s="184"/>
      <c r="L13" s="184"/>
      <c r="M13" s="184"/>
      <c r="N13" s="184"/>
      <c r="O13" s="184"/>
      <c r="P13" s="184"/>
      <c r="Q13" s="184"/>
      <c r="R13" s="184"/>
      <c r="S13" s="184"/>
      <c r="T13" s="184"/>
      <c r="U13" s="184"/>
      <c r="V13" s="184"/>
      <c r="W13" s="184"/>
      <c r="X13" s="184"/>
      <c r="Y13" s="184"/>
      <c r="Z13" s="184"/>
      <c r="AA13" s="184"/>
      <c r="AB13" s="184"/>
      <c r="AC13" s="184"/>
    </row>
    <row r="14" spans="1:29" ht="12.75" customHeight="1" x14ac:dyDescent="0.15">
      <c r="C14" s="184" t="s">
        <v>196</v>
      </c>
      <c r="D14" s="184"/>
      <c r="E14" s="184"/>
      <c r="F14" s="184"/>
      <c r="G14" s="184"/>
      <c r="H14" s="184"/>
      <c r="I14" s="184"/>
      <c r="J14" s="184"/>
      <c r="K14" s="184"/>
      <c r="L14" s="184"/>
      <c r="M14" s="184"/>
      <c r="N14" s="184"/>
      <c r="O14" s="184"/>
      <c r="P14" s="184"/>
      <c r="Q14" s="184"/>
      <c r="R14" s="184"/>
      <c r="S14" s="184"/>
      <c r="T14" s="184"/>
      <c r="U14" s="184"/>
      <c r="V14" s="184"/>
      <c r="W14" s="184"/>
      <c r="X14" s="184"/>
      <c r="Y14" s="184"/>
      <c r="Z14" s="184"/>
      <c r="AA14" s="184"/>
      <c r="AB14" s="184"/>
      <c r="AC14" s="184"/>
    </row>
    <row r="15" spans="1:29" ht="12.75" customHeight="1" x14ac:dyDescent="0.15">
      <c r="A15"/>
      <c r="C15" s="184" t="s">
        <v>197</v>
      </c>
      <c r="D15" s="184"/>
      <c r="E15" s="184"/>
      <c r="F15" s="184"/>
      <c r="G15" s="184"/>
      <c r="H15" s="184"/>
      <c r="I15" s="184"/>
      <c r="J15" s="184"/>
      <c r="K15" s="184"/>
      <c r="L15" s="184"/>
      <c r="M15" s="184"/>
      <c r="N15" s="184"/>
      <c r="O15" s="184"/>
      <c r="P15" s="184"/>
      <c r="Q15" s="184"/>
      <c r="R15" s="184"/>
      <c r="S15" s="184"/>
      <c r="T15" s="184"/>
      <c r="U15" s="184"/>
      <c r="V15" s="184"/>
      <c r="W15" s="184"/>
      <c r="X15" s="184"/>
      <c r="Y15" s="184"/>
      <c r="Z15" s="184"/>
      <c r="AA15" s="184"/>
      <c r="AB15" s="184"/>
      <c r="AC15" s="184"/>
    </row>
    <row r="16" spans="1:29" ht="12.75" customHeight="1" x14ac:dyDescent="0.15">
      <c r="A16"/>
      <c r="C16" s="184" t="s">
        <v>198</v>
      </c>
      <c r="D16" s="184"/>
      <c r="E16" s="184"/>
      <c r="F16" s="184"/>
      <c r="G16" s="184"/>
      <c r="H16" s="184"/>
      <c r="I16" s="184"/>
      <c r="J16" s="184"/>
      <c r="K16" s="184"/>
      <c r="L16" s="184"/>
      <c r="M16" s="184"/>
      <c r="N16" s="184"/>
      <c r="O16" s="184"/>
      <c r="P16" s="184"/>
      <c r="Q16" s="184"/>
      <c r="R16" s="184"/>
      <c r="S16" s="184"/>
      <c r="T16" s="184"/>
      <c r="U16" s="184"/>
      <c r="V16" s="184"/>
      <c r="W16" s="184"/>
      <c r="X16" s="184"/>
      <c r="Y16" s="184"/>
      <c r="Z16" s="184"/>
      <c r="AA16" s="184"/>
      <c r="AB16" s="184"/>
      <c r="AC16" s="184"/>
    </row>
    <row r="17" spans="1:29" ht="12.75" customHeight="1" x14ac:dyDescent="0.15">
      <c r="A17"/>
      <c r="C17" s="185" t="s">
        <v>199</v>
      </c>
      <c r="D17" s="185"/>
      <c r="E17" s="185"/>
      <c r="F17" s="185"/>
      <c r="G17" s="185"/>
      <c r="H17" s="185"/>
      <c r="I17" s="185"/>
      <c r="J17" s="185"/>
      <c r="K17" s="185"/>
      <c r="L17" s="185"/>
      <c r="M17" s="185"/>
      <c r="N17" s="185"/>
      <c r="O17" s="185"/>
      <c r="P17" s="185"/>
      <c r="Q17" s="185"/>
      <c r="R17" s="185"/>
      <c r="S17" s="185"/>
      <c r="T17" s="185"/>
      <c r="U17" s="185"/>
      <c r="V17" s="185"/>
      <c r="W17" s="185"/>
      <c r="X17" s="185"/>
      <c r="Y17" s="185"/>
      <c r="Z17" s="185"/>
      <c r="AA17" s="185"/>
      <c r="AB17" s="185"/>
      <c r="AC17" s="185"/>
    </row>
    <row r="18" spans="1:29" ht="12.75" customHeight="1" x14ac:dyDescent="0.15">
      <c r="C18" s="185" t="s">
        <v>200</v>
      </c>
      <c r="D18" s="185"/>
      <c r="E18" s="185"/>
      <c r="F18" s="185"/>
      <c r="G18" s="185"/>
      <c r="H18" s="185"/>
      <c r="I18" s="185"/>
      <c r="J18" s="185"/>
      <c r="K18" s="185"/>
      <c r="L18" s="185"/>
      <c r="M18" s="185"/>
      <c r="N18" s="185"/>
      <c r="O18" s="185"/>
      <c r="P18" s="185"/>
      <c r="Q18" s="185"/>
      <c r="R18" s="185"/>
      <c r="S18" s="185"/>
      <c r="T18" s="185"/>
      <c r="U18" s="185"/>
      <c r="V18" s="185"/>
      <c r="W18" s="185"/>
      <c r="X18" s="185"/>
      <c r="Y18" s="185"/>
      <c r="Z18" s="185"/>
      <c r="AA18" s="185"/>
      <c r="AB18" s="185"/>
      <c r="AC18" s="185"/>
    </row>
    <row r="19" spans="1:29" ht="12.75" customHeight="1" x14ac:dyDescent="0.15">
      <c r="C19" s="184" t="s">
        <v>201</v>
      </c>
      <c r="D19" s="184"/>
      <c r="E19" s="184"/>
      <c r="F19" s="184"/>
      <c r="G19" s="184"/>
      <c r="H19" s="184"/>
      <c r="I19" s="184"/>
      <c r="J19" s="184"/>
      <c r="K19" s="184"/>
      <c r="L19" s="184"/>
      <c r="M19" s="184"/>
      <c r="N19" s="184"/>
      <c r="O19" s="184"/>
      <c r="P19" s="184"/>
      <c r="Q19" s="184"/>
      <c r="R19" s="184"/>
      <c r="S19" s="184"/>
      <c r="T19" s="184"/>
      <c r="U19" s="184"/>
      <c r="V19" s="184"/>
      <c r="W19" s="184"/>
      <c r="X19" s="184"/>
      <c r="Y19" s="184"/>
      <c r="Z19" s="184"/>
      <c r="AA19" s="184"/>
      <c r="AB19" s="184"/>
      <c r="AC19" s="184"/>
    </row>
    <row r="20" spans="1:29" ht="12.75" customHeight="1" x14ac:dyDescent="0.15">
      <c r="C20" s="184" t="s">
        <v>183</v>
      </c>
      <c r="D20"/>
      <c r="E20"/>
      <c r="F20"/>
      <c r="G20"/>
      <c r="H20"/>
      <c r="I20"/>
      <c r="J20"/>
      <c r="K20"/>
      <c r="L20"/>
      <c r="M20"/>
      <c r="N20"/>
      <c r="O20"/>
      <c r="P20"/>
      <c r="Q20"/>
      <c r="R20"/>
      <c r="S20"/>
      <c r="T20"/>
      <c r="U20"/>
      <c r="V20"/>
      <c r="W20"/>
      <c r="X20"/>
      <c r="Y20"/>
      <c r="Z20"/>
      <c r="AA20"/>
      <c r="AB20"/>
      <c r="AC20"/>
    </row>
    <row r="21" spans="1:29" ht="12.75" customHeight="1" x14ac:dyDescent="0.15"/>
    <row r="22" spans="1:29" ht="14" x14ac:dyDescent="0.2">
      <c r="A22" s="20" t="s">
        <v>104</v>
      </c>
      <c r="B22" s="78"/>
      <c r="C22" s="78"/>
      <c r="D22" s="78"/>
      <c r="E22" s="78"/>
    </row>
    <row r="23" spans="1:29" ht="14" x14ac:dyDescent="0.2">
      <c r="A23" s="102" t="s">
        <v>163</v>
      </c>
      <c r="B23" s="78"/>
      <c r="C23" s="78"/>
      <c r="D23" s="78"/>
      <c r="E23" s="78"/>
    </row>
    <row r="24" spans="1:29" ht="14" x14ac:dyDescent="0.2">
      <c r="A24" s="103" t="s">
        <v>164</v>
      </c>
      <c r="B24" s="78"/>
      <c r="C24" s="78"/>
      <c r="D24" s="78"/>
      <c r="E24" s="78"/>
    </row>
    <row r="25" spans="1:29" x14ac:dyDescent="0.15">
      <c r="A25" s="103" t="s">
        <v>186</v>
      </c>
    </row>
    <row r="26" spans="1:29" x14ac:dyDescent="0.15">
      <c r="A26" s="104"/>
    </row>
    <row r="35" spans="6:12" ht="14" x14ac:dyDescent="0.2">
      <c r="F35" s="78"/>
      <c r="G35" s="78"/>
      <c r="H35" s="78"/>
      <c r="I35" s="78"/>
      <c r="J35" s="78"/>
      <c r="K35" s="78"/>
      <c r="L35" s="78"/>
    </row>
    <row r="36" spans="6:12" ht="14" x14ac:dyDescent="0.2">
      <c r="F36" s="78"/>
      <c r="G36" s="78"/>
      <c r="H36" s="78"/>
      <c r="I36" s="78"/>
      <c r="J36" s="78"/>
      <c r="K36" s="78"/>
      <c r="L36" s="78"/>
    </row>
    <row r="37" spans="6:12" ht="14" x14ac:dyDescent="0.2">
      <c r="F37" s="78"/>
      <c r="G37" s="78"/>
      <c r="H37" s="78"/>
      <c r="I37" s="78"/>
      <c r="J37" s="78"/>
      <c r="K37" s="78"/>
      <c r="L37" s="78"/>
    </row>
  </sheetData>
  <phoneticPr fontId="5" type="noConversion"/>
  <hyperlinks>
    <hyperlink ref="C7:AC7" location="'Table A1'!A1" display="Table A1 Applications, offers and acceptances by state, 2009-2012"/>
    <hyperlink ref="C8:AC8" location="'Table A2'!A1" display="Table A2 Applications and offers and acceptances by gender, age, educational participation and home state, by state 2012"/>
    <hyperlink ref="C9:AC9" location="'Table A3'!A1" display="Table A3 Applications, offers and acceptances by under-represented groups, by state, 2012"/>
    <hyperlink ref="C10:AC10" location="'Tables A4.1 and A4.2'!A1" display="Table A4.1 Applications, offers and acceptances by field of education, 2009-2012"/>
    <hyperlink ref="C11:AC11" location="'Tables A4.1 and A4.2'!A1" display="Table A4.2 Offer rates and acceptance rates by field of education, 2009-2012"/>
    <hyperlink ref="C12:AC12" location="'Table A5'!A1" display="Table A5 Applications, offers and acceptances by SES by field of education, 2012"/>
    <hyperlink ref="C13:AC13" location="'Table A6'!A1" display="Table A6 Applications, offers and acceptances by region by field of education, 2012"/>
    <hyperlink ref="C14:AC14" location="'Table A7'!A1" display="Table A7 Applications, offers and acceptances by Indigenous status by field of education, 2012"/>
    <hyperlink ref="C15:AC15" location="'Tables A8.1 and A8.2'!A1" display="Table A8.1 Current Year 12 applications, offers and acceptances by state by ATAR, 2012"/>
    <hyperlink ref="C16:AC16" location="'Tables A8.1 and A8.2'!A1" display="Table A8.2 Current Year 12 offer rates and acceptances rates by state by ATAR, 2012"/>
    <hyperlink ref="C17:AC17" location="'Tables A9.1 and A9.2'!A1" display="Table A9.1 Current Year 12 applications, offers and acceptances by SES, 2012"/>
    <hyperlink ref="C18:AC18" location="'Tables A9.1 and A9.2'!A1" display="Table A9.2 Share of current Year 12 applications, offers and acceptances by SES, 2012"/>
    <hyperlink ref="C19:AC19" location="'Table A10'!A1" display="Table A10 TAC Applications, offers and offer rates by institution, 2009-2012"/>
    <hyperlink ref="C20" location="Table_A11" display="Table A11 University Group / Type of University"/>
    <hyperlink ref="C19" location="'Table A10'!A1" display="Table A10 Combined Applications, offers and offer rates by institution, 2010-2016"/>
  </hyperlinks>
  <pageMargins left="0.31496062992125984" right="0.31496062992125984" top="0.39370078740157483" bottom="0.19685039370078741" header="0" footer="0"/>
  <pageSetup paperSize="9" orientation="landscape"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92D050"/>
    <pageSetUpPr fitToPage="1"/>
  </sheetPr>
  <dimension ref="A1:K80"/>
  <sheetViews>
    <sheetView showGridLines="0" zoomScale="110" zoomScaleNormal="110" zoomScalePageLayoutView="110" workbookViewId="0">
      <pane xSplit="1" ySplit="3" topLeftCell="B61" activePane="bottomRight" state="frozen"/>
      <selection pane="topRight" activeCell="B1" sqref="B1"/>
      <selection pane="bottomLeft" activeCell="A5" sqref="A5"/>
      <selection pane="bottomRight" activeCell="B76" sqref="B76"/>
    </sheetView>
  </sheetViews>
  <sheetFormatPr baseColWidth="10" defaultColWidth="21.1640625" defaultRowHeight="13" x14ac:dyDescent="0.15"/>
  <cols>
    <col min="1" max="1" width="28.83203125" style="1" customWidth="1"/>
    <col min="2" max="4" width="16.5" style="2" customWidth="1"/>
    <col min="5" max="6" width="21.1640625" style="4" customWidth="1"/>
    <col min="7" max="10" width="21.1640625" style="2" customWidth="1"/>
  </cols>
  <sheetData>
    <row r="1" spans="1:10" s="82" customFormat="1" ht="14" x14ac:dyDescent="0.2">
      <c r="A1" s="80" t="s">
        <v>56</v>
      </c>
      <c r="B1" s="78"/>
      <c r="C1" s="78"/>
      <c r="D1" s="78"/>
      <c r="E1" s="81"/>
      <c r="F1" s="81"/>
      <c r="G1" s="78"/>
      <c r="H1" s="78"/>
      <c r="I1" s="78"/>
      <c r="J1" s="78"/>
    </row>
    <row r="2" spans="1:10" ht="19" x14ac:dyDescent="0.25">
      <c r="A2" s="23" t="s">
        <v>192</v>
      </c>
      <c r="B2" s="23"/>
      <c r="C2" s="23"/>
      <c r="D2" s="23"/>
      <c r="E2" s="23"/>
      <c r="F2" s="23"/>
      <c r="G2" s="23"/>
      <c r="H2" s="23"/>
      <c r="I2" s="23"/>
      <c r="J2" s="23"/>
    </row>
    <row r="3" spans="1:10" ht="15" x14ac:dyDescent="0.2">
      <c r="A3" s="22"/>
      <c r="B3" s="22">
        <v>2011</v>
      </c>
      <c r="C3" s="22">
        <v>2012</v>
      </c>
      <c r="D3" s="127">
        <v>2013</v>
      </c>
      <c r="E3" s="123">
        <v>2014</v>
      </c>
      <c r="F3" s="170">
        <v>2015</v>
      </c>
      <c r="G3" s="170">
        <v>2016</v>
      </c>
      <c r="H3" s="186">
        <v>2017</v>
      </c>
      <c r="I3"/>
      <c r="J3"/>
    </row>
    <row r="4" spans="1:10" ht="15" x14ac:dyDescent="0.2">
      <c r="A4" s="201" t="s">
        <v>92</v>
      </c>
      <c r="B4" s="201"/>
      <c r="C4" s="201"/>
      <c r="D4" s="201"/>
      <c r="E4" s="201"/>
      <c r="F4" s="201"/>
      <c r="G4" s="201"/>
      <c r="H4" s="201"/>
      <c r="I4"/>
      <c r="J4"/>
    </row>
    <row r="5" spans="1:10" ht="14" x14ac:dyDescent="0.2">
      <c r="A5" s="34" t="s">
        <v>99</v>
      </c>
      <c r="B5" s="26">
        <v>302472</v>
      </c>
      <c r="C5" s="26">
        <v>309639</v>
      </c>
      <c r="D5" s="26">
        <v>316607</v>
      </c>
      <c r="E5" s="26">
        <v>324877</v>
      </c>
      <c r="F5" s="26">
        <v>333514</v>
      </c>
      <c r="G5" s="26">
        <v>341421</v>
      </c>
      <c r="H5" s="26">
        <v>346800</v>
      </c>
    </row>
    <row r="6" spans="1:10" ht="14" x14ac:dyDescent="0.2">
      <c r="A6" s="34" t="s">
        <v>100</v>
      </c>
      <c r="B6" s="26">
        <v>244431</v>
      </c>
      <c r="C6" s="26">
        <v>256472</v>
      </c>
      <c r="D6" s="26">
        <v>267244</v>
      </c>
      <c r="E6" s="26">
        <v>272155</v>
      </c>
      <c r="F6" s="26">
        <v>280672</v>
      </c>
      <c r="G6" s="26">
        <v>285846</v>
      </c>
      <c r="H6" s="26">
        <v>286216</v>
      </c>
    </row>
    <row r="7" spans="1:10" ht="14" x14ac:dyDescent="0.2">
      <c r="A7" s="34" t="s">
        <v>60</v>
      </c>
      <c r="B7" s="31">
        <f t="shared" ref="B7:G7" si="0">B6/B5</f>
        <v>0.80811116400856942</v>
      </c>
      <c r="C7" s="31">
        <f t="shared" si="0"/>
        <v>0.82829359350727783</v>
      </c>
      <c r="D7" s="31">
        <f t="shared" si="0"/>
        <v>0.84408746490128139</v>
      </c>
      <c r="E7" s="31">
        <f t="shared" si="0"/>
        <v>0.83771704368114697</v>
      </c>
      <c r="F7" s="31">
        <f t="shared" si="0"/>
        <v>0.84155987454799497</v>
      </c>
      <c r="G7" s="31">
        <f t="shared" si="0"/>
        <v>0.83722442380521411</v>
      </c>
      <c r="H7" s="31">
        <f t="shared" ref="H7" si="1">H6/H5</f>
        <v>0.82530565167243364</v>
      </c>
    </row>
    <row r="8" spans="1:10" ht="14" x14ac:dyDescent="0.2">
      <c r="A8" s="34" t="s">
        <v>127</v>
      </c>
      <c r="B8" s="26">
        <v>183642</v>
      </c>
      <c r="C8" s="26">
        <v>196525</v>
      </c>
      <c r="D8" s="26">
        <v>200533</v>
      </c>
      <c r="E8" s="26">
        <v>207090</v>
      </c>
      <c r="F8" s="26">
        <v>220198</v>
      </c>
      <c r="G8" s="26">
        <v>219230</v>
      </c>
      <c r="H8" s="26">
        <v>219290</v>
      </c>
    </row>
    <row r="9" spans="1:10" ht="14" x14ac:dyDescent="0.2">
      <c r="A9" s="34" t="s">
        <v>61</v>
      </c>
      <c r="B9" s="31">
        <f t="shared" ref="B9:G9" si="2">B8/B6</f>
        <v>0.75130404899542202</v>
      </c>
      <c r="C9" s="31">
        <f t="shared" si="2"/>
        <v>0.76626298387348324</v>
      </c>
      <c r="D9" s="31">
        <f t="shared" si="2"/>
        <v>0.75037418987891213</v>
      </c>
      <c r="E9" s="31">
        <f t="shared" si="2"/>
        <v>0.76092667781227608</v>
      </c>
      <c r="F9" s="31">
        <f t="shared" si="2"/>
        <v>0.78453853608482504</v>
      </c>
      <c r="G9" s="31">
        <f t="shared" si="2"/>
        <v>0.76695143538828603</v>
      </c>
      <c r="H9" s="31">
        <f t="shared" ref="H9" si="3">H8/H6</f>
        <v>0.76616960617156271</v>
      </c>
    </row>
    <row r="10" spans="1:10" ht="14" x14ac:dyDescent="0.2">
      <c r="A10" s="34" t="s">
        <v>118</v>
      </c>
      <c r="B10" s="31"/>
      <c r="C10" s="31">
        <f t="shared" ref="C10:H10" si="4">(C5-B5)/B5</f>
        <v>2.3694755217011823E-2</v>
      </c>
      <c r="D10" s="31">
        <f t="shared" si="4"/>
        <v>2.2503625189333385E-2</v>
      </c>
      <c r="E10" s="31">
        <f t="shared" si="4"/>
        <v>2.6120711165577515E-2</v>
      </c>
      <c r="F10" s="31">
        <f t="shared" si="4"/>
        <v>2.6585446184248192E-2</v>
      </c>
      <c r="G10" s="31">
        <f t="shared" si="4"/>
        <v>2.3708150182601029E-2</v>
      </c>
      <c r="H10" s="31">
        <f t="shared" si="4"/>
        <v>1.5754742678394124E-2</v>
      </c>
    </row>
    <row r="11" spans="1:10" ht="14" x14ac:dyDescent="0.2">
      <c r="A11" s="34" t="s">
        <v>119</v>
      </c>
      <c r="B11" s="31"/>
      <c r="C11" s="31">
        <f t="shared" ref="C11:H11" si="5">(C6-B6)/B6</f>
        <v>4.9261345737651938E-2</v>
      </c>
      <c r="D11" s="31">
        <f t="shared" si="5"/>
        <v>4.2000686234754669E-2</v>
      </c>
      <c r="E11" s="31">
        <f t="shared" si="5"/>
        <v>1.8376464953375943E-2</v>
      </c>
      <c r="F11" s="31">
        <f t="shared" si="5"/>
        <v>3.1294666642170822E-2</v>
      </c>
      <c r="G11" s="31">
        <f t="shared" si="5"/>
        <v>1.8434329038878122E-2</v>
      </c>
      <c r="H11" s="31">
        <f t="shared" si="5"/>
        <v>1.2944032800878795E-3</v>
      </c>
    </row>
    <row r="12" spans="1:10" ht="15" x14ac:dyDescent="0.2">
      <c r="A12" s="59"/>
      <c r="B12" s="201" t="s">
        <v>10</v>
      </c>
      <c r="C12" s="201"/>
      <c r="D12" s="201"/>
      <c r="E12" s="201"/>
      <c r="F12" s="201"/>
      <c r="G12" s="201"/>
      <c r="H12" s="201"/>
      <c r="I12"/>
      <c r="J12"/>
    </row>
    <row r="13" spans="1:10" ht="14" x14ac:dyDescent="0.2">
      <c r="A13" s="34" t="s">
        <v>99</v>
      </c>
      <c r="B13" s="26">
        <v>97608</v>
      </c>
      <c r="C13" s="26">
        <v>102653</v>
      </c>
      <c r="D13" s="26">
        <v>105431</v>
      </c>
      <c r="E13" s="26">
        <v>106788</v>
      </c>
      <c r="F13" s="26">
        <v>108273</v>
      </c>
      <c r="G13" s="26">
        <v>109337</v>
      </c>
      <c r="H13" s="26">
        <v>108402</v>
      </c>
      <c r="I13"/>
      <c r="J13"/>
    </row>
    <row r="14" spans="1:10" ht="14" x14ac:dyDescent="0.2">
      <c r="A14" s="34" t="s">
        <v>100</v>
      </c>
      <c r="B14" s="26">
        <v>81303</v>
      </c>
      <c r="C14" s="26">
        <v>86207</v>
      </c>
      <c r="D14" s="26">
        <v>88242</v>
      </c>
      <c r="E14" s="26">
        <v>89434</v>
      </c>
      <c r="F14" s="26">
        <v>92009</v>
      </c>
      <c r="G14" s="26">
        <v>93753</v>
      </c>
      <c r="H14" s="26">
        <v>92077</v>
      </c>
      <c r="I14"/>
      <c r="J14"/>
    </row>
    <row r="15" spans="1:10" s="3" customFormat="1" ht="14" x14ac:dyDescent="0.2">
      <c r="A15" s="34" t="s">
        <v>60</v>
      </c>
      <c r="B15" s="31">
        <f t="shared" ref="B15:G15" si="6">B14/B13</f>
        <v>0.83295426604376688</v>
      </c>
      <c r="C15" s="31">
        <f t="shared" si="6"/>
        <v>0.83979036170399302</v>
      </c>
      <c r="D15" s="31">
        <f t="shared" si="6"/>
        <v>0.83696446016826176</v>
      </c>
      <c r="E15" s="31">
        <f t="shared" si="6"/>
        <v>0.83749110386934866</v>
      </c>
      <c r="F15" s="31">
        <f t="shared" si="6"/>
        <v>0.84978711220710612</v>
      </c>
      <c r="G15" s="31">
        <f t="shared" si="6"/>
        <v>0.85746819466420332</v>
      </c>
      <c r="H15" s="31">
        <f t="shared" ref="H15" si="7">H14/H13</f>
        <v>0.84940314754340329</v>
      </c>
      <c r="I15"/>
      <c r="J15" s="2"/>
    </row>
    <row r="16" spans="1:10" ht="14" x14ac:dyDescent="0.2">
      <c r="A16" s="34" t="s">
        <v>127</v>
      </c>
      <c r="B16" s="26">
        <v>61446</v>
      </c>
      <c r="C16" s="26">
        <v>65619</v>
      </c>
      <c r="D16" s="26">
        <v>65765</v>
      </c>
      <c r="E16" s="26">
        <v>64839</v>
      </c>
      <c r="F16" s="26">
        <v>67116</v>
      </c>
      <c r="G16" s="26">
        <v>66442</v>
      </c>
      <c r="H16" s="26">
        <v>64892</v>
      </c>
      <c r="I16"/>
      <c r="J16"/>
    </row>
    <row r="17" spans="1:11" ht="14" x14ac:dyDescent="0.2">
      <c r="A17" s="34" t="s">
        <v>61</v>
      </c>
      <c r="B17" s="31">
        <f t="shared" ref="B17:G17" si="8">B16/B14</f>
        <v>0.7557654699088594</v>
      </c>
      <c r="C17" s="31">
        <f t="shared" si="8"/>
        <v>0.76117948658461609</v>
      </c>
      <c r="D17" s="31">
        <f t="shared" si="8"/>
        <v>0.74528002538473748</v>
      </c>
      <c r="E17" s="31">
        <f t="shared" si="8"/>
        <v>0.72499273207057724</v>
      </c>
      <c r="F17" s="31">
        <f t="shared" si="8"/>
        <v>0.72945037985414474</v>
      </c>
      <c r="G17" s="31">
        <f t="shared" si="8"/>
        <v>0.70869198852303394</v>
      </c>
      <c r="H17" s="31">
        <f t="shared" ref="H17" si="9">H16/H14</f>
        <v>0.70475797430411502</v>
      </c>
      <c r="I17"/>
      <c r="J17"/>
    </row>
    <row r="18" spans="1:11" ht="14" x14ac:dyDescent="0.2">
      <c r="A18" s="34" t="s">
        <v>118</v>
      </c>
      <c r="B18" s="31"/>
      <c r="C18" s="31">
        <f t="shared" ref="C18:H19" si="10">(C13-B13)/B13</f>
        <v>5.1686337185476598E-2</v>
      </c>
      <c r="D18" s="31">
        <f t="shared" si="10"/>
        <v>2.7062043973386067E-2</v>
      </c>
      <c r="E18" s="31">
        <f t="shared" si="10"/>
        <v>1.2870977226811849E-2</v>
      </c>
      <c r="F18" s="31">
        <f t="shared" si="10"/>
        <v>1.3906056860321385E-2</v>
      </c>
      <c r="G18" s="31">
        <f t="shared" si="10"/>
        <v>9.8270113509369827E-3</v>
      </c>
      <c r="H18" s="31">
        <f t="shared" si="10"/>
        <v>-8.5515424787583338E-3</v>
      </c>
      <c r="I18" s="3"/>
      <c r="J18" s="3"/>
    </row>
    <row r="19" spans="1:11" ht="14" x14ac:dyDescent="0.2">
      <c r="A19" s="34" t="s">
        <v>119</v>
      </c>
      <c r="B19" s="31"/>
      <c r="C19" s="31">
        <f t="shared" si="10"/>
        <v>6.0317577457166399E-2</v>
      </c>
      <c r="D19" s="31">
        <f t="shared" si="10"/>
        <v>2.3605971672833993E-2</v>
      </c>
      <c r="E19" s="31">
        <f t="shared" si="10"/>
        <v>1.350830670202398E-2</v>
      </c>
      <c r="F19" s="31">
        <f t="shared" si="10"/>
        <v>2.8792181944227026E-2</v>
      </c>
      <c r="G19" s="31">
        <f t="shared" si="10"/>
        <v>1.8954667478181482E-2</v>
      </c>
      <c r="H19" s="31">
        <f t="shared" si="10"/>
        <v>-1.7876761276972471E-2</v>
      </c>
      <c r="I19"/>
      <c r="J19"/>
    </row>
    <row r="20" spans="1:11" ht="15" x14ac:dyDescent="0.2">
      <c r="A20" s="59"/>
      <c r="B20" s="201" t="s">
        <v>21</v>
      </c>
      <c r="C20" s="201"/>
      <c r="D20" s="201"/>
      <c r="E20" s="201"/>
      <c r="F20" s="201"/>
      <c r="G20" s="201"/>
      <c r="H20" s="201"/>
      <c r="I20"/>
      <c r="J20"/>
    </row>
    <row r="21" spans="1:11" ht="14" x14ac:dyDescent="0.2">
      <c r="A21" s="34" t="s">
        <v>99</v>
      </c>
      <c r="B21" s="26">
        <v>79691</v>
      </c>
      <c r="C21" s="26">
        <v>79637</v>
      </c>
      <c r="D21" s="26">
        <v>80959</v>
      </c>
      <c r="E21" s="26">
        <v>84008</v>
      </c>
      <c r="F21" s="26">
        <v>87681</v>
      </c>
      <c r="G21" s="26">
        <v>89114</v>
      </c>
      <c r="H21" s="26">
        <v>92672</v>
      </c>
      <c r="I21"/>
      <c r="J21"/>
    </row>
    <row r="22" spans="1:11" ht="14" x14ac:dyDescent="0.2">
      <c r="A22" s="34" t="s">
        <v>100</v>
      </c>
      <c r="B22" s="26">
        <v>59168</v>
      </c>
      <c r="C22" s="26">
        <v>64588</v>
      </c>
      <c r="D22" s="26">
        <v>67097</v>
      </c>
      <c r="E22" s="26">
        <v>68316</v>
      </c>
      <c r="F22" s="26">
        <v>70925</v>
      </c>
      <c r="G22" s="26">
        <v>70737</v>
      </c>
      <c r="H22" s="26">
        <v>71745</v>
      </c>
      <c r="I22"/>
      <c r="J22"/>
    </row>
    <row r="23" spans="1:11" ht="14" x14ac:dyDescent="0.2">
      <c r="A23" s="34" t="s">
        <v>60</v>
      </c>
      <c r="B23" s="31">
        <f t="shared" ref="B23:G23" si="11">B22/B21</f>
        <v>0.74246778180723039</v>
      </c>
      <c r="C23" s="31">
        <f t="shared" si="11"/>
        <v>0.81103004884664165</v>
      </c>
      <c r="D23" s="31">
        <f t="shared" si="11"/>
        <v>0.82877752936671645</v>
      </c>
      <c r="E23" s="31">
        <f t="shared" si="11"/>
        <v>0.81320826587944006</v>
      </c>
      <c r="F23" s="31">
        <f t="shared" si="11"/>
        <v>0.80889816493881228</v>
      </c>
      <c r="G23" s="31">
        <f t="shared" si="11"/>
        <v>0.79378099961846627</v>
      </c>
      <c r="H23" s="31">
        <f t="shared" ref="H23" si="12">H22/H21</f>
        <v>0.77418206146408841</v>
      </c>
      <c r="I23"/>
      <c r="J23"/>
    </row>
    <row r="24" spans="1:11" s="3" customFormat="1" ht="14" x14ac:dyDescent="0.2">
      <c r="A24" s="34" t="s">
        <v>127</v>
      </c>
      <c r="B24" s="26">
        <v>41984</v>
      </c>
      <c r="C24" s="26">
        <v>46833</v>
      </c>
      <c r="D24" s="26">
        <v>49763</v>
      </c>
      <c r="E24" s="26">
        <v>50904</v>
      </c>
      <c r="F24" s="26">
        <v>56101</v>
      </c>
      <c r="G24" s="26">
        <v>55004</v>
      </c>
      <c r="H24" s="26">
        <v>55951</v>
      </c>
    </row>
    <row r="25" spans="1:11" ht="14" x14ac:dyDescent="0.2">
      <c r="A25" s="34" t="s">
        <v>61</v>
      </c>
      <c r="B25" s="31">
        <f t="shared" ref="B25:G25" si="13">B24/B22</f>
        <v>0.70957274202271503</v>
      </c>
      <c r="C25" s="31">
        <f t="shared" si="13"/>
        <v>0.725103734439834</v>
      </c>
      <c r="D25" s="31">
        <f t="shared" si="13"/>
        <v>0.74165760019076854</v>
      </c>
      <c r="E25" s="31">
        <f t="shared" si="13"/>
        <v>0.74512559283330404</v>
      </c>
      <c r="F25" s="31">
        <f t="shared" si="13"/>
        <v>0.7909904829044766</v>
      </c>
      <c r="G25" s="31">
        <f t="shared" si="13"/>
        <v>0.77758457384395718</v>
      </c>
      <c r="H25" s="31">
        <f t="shared" ref="H25" si="14">H24/H22</f>
        <v>0.77985922363927795</v>
      </c>
      <c r="I25"/>
      <c r="J25"/>
    </row>
    <row r="26" spans="1:11" ht="14" x14ac:dyDescent="0.2">
      <c r="A26" s="34" t="s">
        <v>118</v>
      </c>
      <c r="B26" s="31"/>
      <c r="C26" s="31">
        <f t="shared" ref="C26:H27" si="15">(C21-B21)/B21</f>
        <v>-6.7761729680892448E-4</v>
      </c>
      <c r="D26" s="31">
        <f t="shared" si="15"/>
        <v>1.6600323970013937E-2</v>
      </c>
      <c r="E26" s="31">
        <f t="shared" si="15"/>
        <v>3.766103830333873E-2</v>
      </c>
      <c r="F26" s="31">
        <f t="shared" si="15"/>
        <v>4.3722026473669177E-2</v>
      </c>
      <c r="G26" s="31">
        <f t="shared" si="15"/>
        <v>1.6343335500279423E-2</v>
      </c>
      <c r="H26" s="31">
        <f t="shared" si="15"/>
        <v>3.9926386426375207E-2</v>
      </c>
      <c r="I26"/>
      <c r="J26"/>
    </row>
    <row r="27" spans="1:11" ht="14" x14ac:dyDescent="0.2">
      <c r="A27" s="34" t="s">
        <v>119</v>
      </c>
      <c r="B27" s="31"/>
      <c r="C27" s="31">
        <f t="shared" si="15"/>
        <v>9.1603569497025417E-2</v>
      </c>
      <c r="D27" s="31">
        <f t="shared" si="15"/>
        <v>3.8846225305010217E-2</v>
      </c>
      <c r="E27" s="31">
        <f t="shared" si="15"/>
        <v>1.8167727320148441E-2</v>
      </c>
      <c r="F27" s="31">
        <f t="shared" si="15"/>
        <v>3.8190175068797939E-2</v>
      </c>
      <c r="G27" s="31">
        <f t="shared" si="15"/>
        <v>-2.6506873457878039E-3</v>
      </c>
      <c r="H27" s="31">
        <f t="shared" si="15"/>
        <v>1.4249968192035285E-2</v>
      </c>
      <c r="I27" s="5"/>
      <c r="J27" s="5"/>
      <c r="K27" s="5"/>
    </row>
    <row r="28" spans="1:11" ht="15" x14ac:dyDescent="0.2">
      <c r="A28" s="59"/>
      <c r="B28" s="201" t="s">
        <v>28</v>
      </c>
      <c r="C28" s="201"/>
      <c r="D28" s="201"/>
      <c r="E28" s="201"/>
      <c r="F28" s="201"/>
      <c r="G28" s="201"/>
      <c r="H28" s="201"/>
      <c r="I28" s="5"/>
      <c r="J28" s="5"/>
      <c r="K28" s="5"/>
    </row>
    <row r="29" spans="1:11" ht="14" x14ac:dyDescent="0.2">
      <c r="A29" s="34" t="s">
        <v>99</v>
      </c>
      <c r="B29" s="26">
        <v>58194</v>
      </c>
      <c r="C29" s="26">
        <v>58144</v>
      </c>
      <c r="D29" s="26">
        <v>59315</v>
      </c>
      <c r="E29" s="26">
        <v>60018</v>
      </c>
      <c r="F29" s="26">
        <v>63459</v>
      </c>
      <c r="G29" s="26">
        <v>65723</v>
      </c>
      <c r="H29" s="26">
        <v>66437</v>
      </c>
      <c r="I29" s="5"/>
      <c r="J29" s="5"/>
      <c r="K29" s="5"/>
    </row>
    <row r="30" spans="1:11" ht="14" x14ac:dyDescent="0.2">
      <c r="A30" s="34" t="s">
        <v>100</v>
      </c>
      <c r="B30" s="26">
        <v>47618</v>
      </c>
      <c r="C30" s="26">
        <v>49505</v>
      </c>
      <c r="D30" s="26">
        <v>51620</v>
      </c>
      <c r="E30" s="26">
        <v>52822</v>
      </c>
      <c r="F30" s="26">
        <v>55732</v>
      </c>
      <c r="G30" s="26">
        <v>57092</v>
      </c>
      <c r="H30" s="26">
        <v>57692</v>
      </c>
      <c r="I30" s="5"/>
      <c r="J30" s="5"/>
      <c r="K30" s="5"/>
    </row>
    <row r="31" spans="1:11" ht="14" x14ac:dyDescent="0.2">
      <c r="A31" s="34" t="s">
        <v>60</v>
      </c>
      <c r="B31" s="31">
        <f t="shared" ref="B31:G31" si="16">B30/B29</f>
        <v>0.81826305117366049</v>
      </c>
      <c r="C31" s="31">
        <f t="shared" si="16"/>
        <v>0.8514206108970831</v>
      </c>
      <c r="D31" s="31">
        <f t="shared" si="16"/>
        <v>0.87026890331282136</v>
      </c>
      <c r="E31" s="31">
        <f t="shared" si="16"/>
        <v>0.88010263587590387</v>
      </c>
      <c r="F31" s="31">
        <f t="shared" si="16"/>
        <v>0.87823634157487507</v>
      </c>
      <c r="G31" s="31">
        <f t="shared" si="16"/>
        <v>0.86867611034188941</v>
      </c>
      <c r="H31" s="31">
        <f t="shared" ref="H31" si="17">H30/H29</f>
        <v>0.86837153995514549</v>
      </c>
      <c r="I31" s="5"/>
      <c r="J31" s="7"/>
      <c r="K31" s="5"/>
    </row>
    <row r="32" spans="1:11" ht="14" x14ac:dyDescent="0.2">
      <c r="A32" s="34" t="s">
        <v>127</v>
      </c>
      <c r="B32" s="26">
        <v>38176</v>
      </c>
      <c r="C32" s="26">
        <v>41461</v>
      </c>
      <c r="D32" s="26">
        <v>40501</v>
      </c>
      <c r="E32" s="26">
        <v>43755</v>
      </c>
      <c r="F32" s="26">
        <v>47122</v>
      </c>
      <c r="G32" s="26">
        <v>46750</v>
      </c>
      <c r="H32" s="26">
        <v>46727</v>
      </c>
      <c r="I32" s="5"/>
      <c r="J32" s="7"/>
      <c r="K32" s="5"/>
    </row>
    <row r="33" spans="1:11" ht="14" x14ac:dyDescent="0.2">
      <c r="A33" s="34" t="s">
        <v>61</v>
      </c>
      <c r="B33" s="31">
        <f t="shared" ref="B33:G33" si="18">B32/B30</f>
        <v>0.80171363770002935</v>
      </c>
      <c r="C33" s="31">
        <f t="shared" si="18"/>
        <v>0.83751136248863756</v>
      </c>
      <c r="D33" s="31">
        <f t="shared" si="18"/>
        <v>0.78459899263851218</v>
      </c>
      <c r="E33" s="31">
        <f t="shared" si="18"/>
        <v>0.8283480368028473</v>
      </c>
      <c r="F33" s="31">
        <f t="shared" si="18"/>
        <v>0.84551065814971649</v>
      </c>
      <c r="G33" s="31">
        <f t="shared" si="18"/>
        <v>0.81885377986407903</v>
      </c>
      <c r="H33" s="31">
        <f t="shared" ref="H33" si="19">H32/H30</f>
        <v>0.80993898634126049</v>
      </c>
      <c r="I33" s="5"/>
      <c r="J33" s="7"/>
      <c r="K33" s="5"/>
    </row>
    <row r="34" spans="1:11" s="3" customFormat="1" ht="14" x14ac:dyDescent="0.2">
      <c r="A34" s="34" t="s">
        <v>118</v>
      </c>
      <c r="B34" s="31"/>
      <c r="C34" s="31">
        <f t="shared" ref="C34:H35" si="20">(C29-B29)/B29</f>
        <v>-8.5919510602467612E-4</v>
      </c>
      <c r="D34" s="31">
        <f t="shared" si="20"/>
        <v>2.0139653274628508E-2</v>
      </c>
      <c r="E34" s="31">
        <f t="shared" si="20"/>
        <v>1.185197673438422E-2</v>
      </c>
      <c r="F34" s="31">
        <f t="shared" si="20"/>
        <v>5.7332800159952013E-2</v>
      </c>
      <c r="G34" s="31">
        <f t="shared" si="20"/>
        <v>3.5676578578294649E-2</v>
      </c>
      <c r="H34" s="31">
        <f t="shared" si="20"/>
        <v>1.0863776760038343E-2</v>
      </c>
      <c r="I34" s="6"/>
      <c r="J34" s="6"/>
      <c r="K34" s="6"/>
    </row>
    <row r="35" spans="1:11" s="3" customFormat="1" ht="14" x14ac:dyDescent="0.2">
      <c r="A35" s="34" t="s">
        <v>119</v>
      </c>
      <c r="B35" s="31"/>
      <c r="C35" s="31">
        <f t="shared" si="20"/>
        <v>3.9627871813179887E-2</v>
      </c>
      <c r="D35" s="31">
        <f t="shared" si="20"/>
        <v>4.2722957277042721E-2</v>
      </c>
      <c r="E35" s="31">
        <f t="shared" si="20"/>
        <v>2.3285548237117395E-2</v>
      </c>
      <c r="F35" s="31">
        <f t="shared" si="20"/>
        <v>5.5090681912839348E-2</v>
      </c>
      <c r="G35" s="31">
        <f t="shared" si="20"/>
        <v>2.4402497667408311E-2</v>
      </c>
      <c r="H35" s="31">
        <f t="shared" si="20"/>
        <v>1.0509353324458768E-2</v>
      </c>
      <c r="I35" s="6"/>
      <c r="J35" s="6"/>
      <c r="K35" s="6"/>
    </row>
    <row r="36" spans="1:11" ht="15" x14ac:dyDescent="0.2">
      <c r="A36" s="59"/>
      <c r="B36" s="201" t="s">
        <v>36</v>
      </c>
      <c r="C36" s="201"/>
      <c r="D36" s="201"/>
      <c r="E36" s="201"/>
      <c r="F36" s="201"/>
      <c r="G36" s="201"/>
      <c r="H36" s="201"/>
      <c r="I36" s="5"/>
      <c r="J36" s="5"/>
      <c r="K36" s="5"/>
    </row>
    <row r="37" spans="1:11" ht="14" x14ac:dyDescent="0.2">
      <c r="A37" s="34" t="s">
        <v>99</v>
      </c>
      <c r="B37" s="26">
        <v>27863</v>
      </c>
      <c r="C37" s="26">
        <v>27834</v>
      </c>
      <c r="D37" s="26">
        <v>28398</v>
      </c>
      <c r="E37" s="26">
        <v>29233</v>
      </c>
      <c r="F37" s="26">
        <v>27130</v>
      </c>
      <c r="G37" s="26">
        <v>30387</v>
      </c>
      <c r="H37" s="26">
        <v>32110</v>
      </c>
      <c r="I37" s="5"/>
      <c r="J37" s="5"/>
      <c r="K37" s="5"/>
    </row>
    <row r="38" spans="1:11" ht="14" x14ac:dyDescent="0.2">
      <c r="A38" s="34" t="s">
        <v>100</v>
      </c>
      <c r="B38" s="26">
        <v>23726</v>
      </c>
      <c r="C38" s="26">
        <v>21407</v>
      </c>
      <c r="D38" s="26">
        <v>24841</v>
      </c>
      <c r="E38" s="26">
        <v>24893</v>
      </c>
      <c r="F38" s="26">
        <v>23088</v>
      </c>
      <c r="G38" s="26">
        <v>25516</v>
      </c>
      <c r="H38" s="26">
        <v>25571</v>
      </c>
      <c r="I38" s="7"/>
      <c r="J38" s="7"/>
      <c r="K38" s="5"/>
    </row>
    <row r="39" spans="1:11" ht="14" x14ac:dyDescent="0.2">
      <c r="A39" s="34" t="s">
        <v>60</v>
      </c>
      <c r="B39" s="31">
        <f t="shared" ref="B39:G39" si="21">B38/B37</f>
        <v>0.85152352582277568</v>
      </c>
      <c r="C39" s="31">
        <f t="shared" si="21"/>
        <v>0.76909535100955662</v>
      </c>
      <c r="D39" s="31">
        <f t="shared" si="21"/>
        <v>0.87474470033100926</v>
      </c>
      <c r="E39" s="31">
        <f t="shared" si="21"/>
        <v>0.8515376458112407</v>
      </c>
      <c r="F39" s="31">
        <f t="shared" si="21"/>
        <v>0.85101363803907115</v>
      </c>
      <c r="G39" s="31">
        <f t="shared" si="21"/>
        <v>0.83970118800802973</v>
      </c>
      <c r="H39" s="31">
        <f t="shared" ref="H39" si="22">H38/H37</f>
        <v>0.79635627530364372</v>
      </c>
      <c r="I39" s="7"/>
      <c r="J39" s="7"/>
      <c r="K39" s="5"/>
    </row>
    <row r="40" spans="1:11" ht="14" x14ac:dyDescent="0.2">
      <c r="A40" s="34" t="s">
        <v>127</v>
      </c>
      <c r="B40" s="26">
        <v>18709</v>
      </c>
      <c r="C40" s="26">
        <v>17487</v>
      </c>
      <c r="D40" s="26">
        <v>19873</v>
      </c>
      <c r="E40" s="26">
        <v>20607</v>
      </c>
      <c r="F40" s="26">
        <v>18747</v>
      </c>
      <c r="G40" s="26">
        <v>20795</v>
      </c>
      <c r="H40" s="26">
        <v>20821</v>
      </c>
    </row>
    <row r="41" spans="1:11" ht="14" x14ac:dyDescent="0.2">
      <c r="A41" s="34" t="s">
        <v>61</v>
      </c>
      <c r="B41" s="31">
        <f t="shared" ref="B41:G41" si="23">B40/B38</f>
        <v>0.78854421309955325</v>
      </c>
      <c r="C41" s="31">
        <f t="shared" si="23"/>
        <v>0.81688232821039852</v>
      </c>
      <c r="D41" s="31">
        <f t="shared" si="23"/>
        <v>0.80000805120566809</v>
      </c>
      <c r="E41" s="31">
        <f t="shared" si="23"/>
        <v>0.8278230827943599</v>
      </c>
      <c r="F41" s="31">
        <f t="shared" si="23"/>
        <v>0.81198024948024949</v>
      </c>
      <c r="G41" s="31">
        <f t="shared" si="23"/>
        <v>0.81497883680827721</v>
      </c>
      <c r="H41" s="31">
        <f t="shared" ref="H41" si="24">H40/H38</f>
        <v>0.81424269680497441</v>
      </c>
    </row>
    <row r="42" spans="1:11" ht="14" x14ac:dyDescent="0.2">
      <c r="A42" s="34" t="s">
        <v>118</v>
      </c>
      <c r="B42" s="31"/>
      <c r="C42" s="31">
        <f t="shared" ref="C42:H43" si="25">(C37-B37)/B37</f>
        <v>-1.0408068047231096E-3</v>
      </c>
      <c r="D42" s="31">
        <f t="shared" si="25"/>
        <v>2.0262987712869152E-2</v>
      </c>
      <c r="E42" s="31">
        <f t="shared" si="25"/>
        <v>2.9403479118247765E-2</v>
      </c>
      <c r="F42" s="31">
        <f t="shared" si="25"/>
        <v>-7.1939246741696022E-2</v>
      </c>
      <c r="G42" s="31">
        <f t="shared" si="25"/>
        <v>0.12005160339107998</v>
      </c>
      <c r="H42" s="31">
        <f t="shared" si="25"/>
        <v>5.6701879093033203E-2</v>
      </c>
    </row>
    <row r="43" spans="1:11" s="3" customFormat="1" ht="14" x14ac:dyDescent="0.2">
      <c r="A43" s="34" t="s">
        <v>119</v>
      </c>
      <c r="B43" s="31"/>
      <c r="C43" s="31">
        <f t="shared" si="25"/>
        <v>-9.7740874989463031E-2</v>
      </c>
      <c r="D43" s="31">
        <f t="shared" si="25"/>
        <v>0.16041481758303358</v>
      </c>
      <c r="E43" s="31">
        <f t="shared" si="25"/>
        <v>2.0933134736926856E-3</v>
      </c>
      <c r="F43" s="31">
        <f t="shared" si="25"/>
        <v>-7.251034427349054E-2</v>
      </c>
      <c r="G43" s="31">
        <f t="shared" si="25"/>
        <v>0.10516285516285516</v>
      </c>
      <c r="H43" s="31">
        <f t="shared" si="25"/>
        <v>2.1555102680670952E-3</v>
      </c>
    </row>
    <row r="44" spans="1:11" ht="15" x14ac:dyDescent="0.2">
      <c r="A44" s="201" t="s">
        <v>41</v>
      </c>
      <c r="B44" s="201"/>
      <c r="C44" s="201"/>
      <c r="D44" s="201"/>
      <c r="E44" s="201"/>
      <c r="F44" s="201"/>
      <c r="G44" s="201"/>
      <c r="H44" s="201"/>
    </row>
    <row r="45" spans="1:11" ht="14" x14ac:dyDescent="0.2">
      <c r="A45" s="34" t="s">
        <v>99</v>
      </c>
      <c r="B45" s="26">
        <v>21000</v>
      </c>
      <c r="C45" s="26">
        <v>22280</v>
      </c>
      <c r="D45" s="26">
        <v>23138</v>
      </c>
      <c r="E45" s="26">
        <v>25121</v>
      </c>
      <c r="F45" s="26">
        <v>26141</v>
      </c>
      <c r="G45" s="26">
        <v>25794</v>
      </c>
      <c r="H45" s="26">
        <v>26052</v>
      </c>
    </row>
    <row r="46" spans="1:11" ht="14" x14ac:dyDescent="0.2">
      <c r="A46" s="34" t="s">
        <v>100</v>
      </c>
      <c r="B46" s="26">
        <v>17448</v>
      </c>
      <c r="C46" s="26">
        <v>18601</v>
      </c>
      <c r="D46" s="26">
        <v>19068</v>
      </c>
      <c r="E46" s="26">
        <v>19973</v>
      </c>
      <c r="F46" s="26">
        <v>20834</v>
      </c>
      <c r="G46" s="26">
        <v>20708</v>
      </c>
      <c r="H46" s="26">
        <v>21033</v>
      </c>
    </row>
    <row r="47" spans="1:11" ht="14" x14ac:dyDescent="0.2">
      <c r="A47" s="34" t="s">
        <v>60</v>
      </c>
      <c r="B47" s="31">
        <f t="shared" ref="B47:G47" si="26">B46/B45</f>
        <v>0.83085714285714285</v>
      </c>
      <c r="C47" s="31">
        <f t="shared" si="26"/>
        <v>0.83487432675044881</v>
      </c>
      <c r="D47" s="31">
        <f t="shared" si="26"/>
        <v>0.82409888495116257</v>
      </c>
      <c r="E47" s="31">
        <f t="shared" si="26"/>
        <v>0.79507185223518173</v>
      </c>
      <c r="F47" s="31">
        <f t="shared" si="26"/>
        <v>0.796985578210474</v>
      </c>
      <c r="G47" s="31">
        <f t="shared" si="26"/>
        <v>0.80282236178956345</v>
      </c>
      <c r="H47" s="31">
        <f t="shared" ref="H47" si="27">H46/H45</f>
        <v>0.80734684477199448</v>
      </c>
      <c r="I47"/>
      <c r="J47"/>
    </row>
    <row r="48" spans="1:11" ht="14" x14ac:dyDescent="0.2">
      <c r="A48" s="34" t="s">
        <v>127</v>
      </c>
      <c r="B48" s="26">
        <v>12625</v>
      </c>
      <c r="C48" s="26">
        <v>13906</v>
      </c>
      <c r="D48" s="26">
        <v>13759</v>
      </c>
      <c r="E48" s="26">
        <v>15490</v>
      </c>
      <c r="F48" s="26">
        <v>17015</v>
      </c>
      <c r="G48" s="26">
        <v>16866</v>
      </c>
      <c r="H48" s="26">
        <v>17510</v>
      </c>
      <c r="I48"/>
      <c r="J48"/>
    </row>
    <row r="49" spans="1:10" ht="14" x14ac:dyDescent="0.2">
      <c r="A49" s="34" t="s">
        <v>61</v>
      </c>
      <c r="B49" s="31">
        <f t="shared" ref="B49:G49" si="28">B48/B46</f>
        <v>0.72357863365428698</v>
      </c>
      <c r="C49" s="31">
        <f t="shared" si="28"/>
        <v>0.74759421536476534</v>
      </c>
      <c r="D49" s="31">
        <f t="shared" si="28"/>
        <v>0.72157541430669181</v>
      </c>
      <c r="E49" s="31">
        <f t="shared" si="28"/>
        <v>0.77554698843438641</v>
      </c>
      <c r="F49" s="31">
        <f t="shared" si="28"/>
        <v>0.81669386579629455</v>
      </c>
      <c r="G49" s="31">
        <f t="shared" si="28"/>
        <v>0.81446783851651539</v>
      </c>
      <c r="H49" s="31">
        <f t="shared" ref="H49" si="29">H48/H46</f>
        <v>0.83250130746921502</v>
      </c>
      <c r="I49"/>
      <c r="J49"/>
    </row>
    <row r="50" spans="1:10" ht="14" x14ac:dyDescent="0.2">
      <c r="A50" s="34" t="s">
        <v>118</v>
      </c>
      <c r="B50" s="31"/>
      <c r="C50" s="31">
        <f t="shared" ref="C50:H51" si="30">(C45-B45)/B45</f>
        <v>6.0952380952380952E-2</v>
      </c>
      <c r="D50" s="31">
        <f t="shared" si="30"/>
        <v>3.8509874326750446E-2</v>
      </c>
      <c r="E50" s="31">
        <f t="shared" si="30"/>
        <v>8.5703172270723479E-2</v>
      </c>
      <c r="F50" s="31">
        <f t="shared" si="30"/>
        <v>4.0603479160861433E-2</v>
      </c>
      <c r="G50" s="31">
        <f t="shared" si="30"/>
        <v>-1.32741670173291E-2</v>
      </c>
      <c r="H50" s="31">
        <f t="shared" si="30"/>
        <v>1.0002326122354036E-2</v>
      </c>
      <c r="I50"/>
      <c r="J50"/>
    </row>
    <row r="51" spans="1:10" ht="14" x14ac:dyDescent="0.2">
      <c r="A51" s="34" t="s">
        <v>119</v>
      </c>
      <c r="B51" s="31"/>
      <c r="C51" s="31">
        <f t="shared" si="30"/>
        <v>6.6082072443833101E-2</v>
      </c>
      <c r="D51" s="31">
        <f t="shared" si="30"/>
        <v>2.5106177087253375E-2</v>
      </c>
      <c r="E51" s="31">
        <f t="shared" si="30"/>
        <v>4.7461715963918606E-2</v>
      </c>
      <c r="F51" s="31">
        <f t="shared" si="30"/>
        <v>4.3108196064687326E-2</v>
      </c>
      <c r="G51" s="31">
        <f t="shared" si="30"/>
        <v>-6.0478064701929542E-3</v>
      </c>
      <c r="H51" s="31">
        <f t="shared" si="30"/>
        <v>1.5694417616380144E-2</v>
      </c>
      <c r="I51"/>
      <c r="J51"/>
    </row>
    <row r="52" spans="1:10" ht="15" x14ac:dyDescent="0.2">
      <c r="A52" s="201" t="s">
        <v>44</v>
      </c>
      <c r="B52" s="201"/>
      <c r="C52" s="201"/>
      <c r="D52" s="201"/>
      <c r="E52" s="201"/>
      <c r="F52" s="201"/>
      <c r="G52" s="201"/>
      <c r="H52" s="201"/>
      <c r="I52"/>
      <c r="J52"/>
    </row>
    <row r="53" spans="1:10" ht="14" x14ac:dyDescent="0.2">
      <c r="A53" s="34" t="s">
        <v>99</v>
      </c>
      <c r="B53" s="26">
        <v>7416</v>
      </c>
      <c r="C53" s="26">
        <v>7860</v>
      </c>
      <c r="D53" s="26">
        <v>7869</v>
      </c>
      <c r="E53" s="26">
        <v>7975</v>
      </c>
      <c r="F53" s="26">
        <v>9043</v>
      </c>
      <c r="G53" s="26">
        <v>8969</v>
      </c>
      <c r="H53" s="26">
        <v>9083</v>
      </c>
      <c r="I53"/>
      <c r="J53"/>
    </row>
    <row r="54" spans="1:10" ht="14" x14ac:dyDescent="0.2">
      <c r="A54" s="34" t="s">
        <v>100</v>
      </c>
      <c r="B54" s="26">
        <v>6620</v>
      </c>
      <c r="C54" s="26">
        <v>7004</v>
      </c>
      <c r="D54" s="26">
        <v>6836</v>
      </c>
      <c r="E54" s="26">
        <v>7318</v>
      </c>
      <c r="F54" s="26">
        <v>8535</v>
      </c>
      <c r="G54" s="26">
        <v>8325</v>
      </c>
      <c r="H54" s="26">
        <v>8538</v>
      </c>
      <c r="I54"/>
      <c r="J54"/>
    </row>
    <row r="55" spans="1:10" ht="14" x14ac:dyDescent="0.2">
      <c r="A55" s="34" t="s">
        <v>60</v>
      </c>
      <c r="B55" s="31">
        <f t="shared" ref="B55:G55" si="31">B54/B53</f>
        <v>0.89266450916936357</v>
      </c>
      <c r="C55" s="31">
        <f t="shared" si="31"/>
        <v>0.89109414758269723</v>
      </c>
      <c r="D55" s="31">
        <f t="shared" si="31"/>
        <v>0.86872537806582795</v>
      </c>
      <c r="E55" s="31">
        <f t="shared" si="31"/>
        <v>0.91761755485893415</v>
      </c>
      <c r="F55" s="31">
        <f t="shared" si="31"/>
        <v>0.94382395222824289</v>
      </c>
      <c r="G55" s="31">
        <f t="shared" si="31"/>
        <v>0.92819712342513105</v>
      </c>
      <c r="H55" s="31">
        <f t="shared" ref="H55" si="32">H54/H53</f>
        <v>0.93999779808433337</v>
      </c>
      <c r="I55"/>
      <c r="J55"/>
    </row>
    <row r="56" spans="1:10" ht="14" x14ac:dyDescent="0.2">
      <c r="A56" s="34" t="s">
        <v>127</v>
      </c>
      <c r="B56" s="26">
        <v>5083</v>
      </c>
      <c r="C56" s="26">
        <v>5359</v>
      </c>
      <c r="D56" s="26">
        <v>4883</v>
      </c>
      <c r="E56" s="26">
        <v>5378</v>
      </c>
      <c r="F56" s="26">
        <v>7319</v>
      </c>
      <c r="G56" s="26">
        <v>6678</v>
      </c>
      <c r="H56" s="26">
        <v>6751</v>
      </c>
      <c r="I56"/>
      <c r="J56"/>
    </row>
    <row r="57" spans="1:10" ht="14" x14ac:dyDescent="0.2">
      <c r="A57" s="34" t="s">
        <v>61</v>
      </c>
      <c r="B57" s="31">
        <f t="shared" ref="B57:G57" si="33">B56/B54</f>
        <v>0.76782477341389732</v>
      </c>
      <c r="C57" s="31">
        <f t="shared" si="33"/>
        <v>0.76513420902341522</v>
      </c>
      <c r="D57" s="31">
        <f t="shared" si="33"/>
        <v>0.71430661205383261</v>
      </c>
      <c r="E57" s="31">
        <f t="shared" si="33"/>
        <v>0.73490024596884396</v>
      </c>
      <c r="F57" s="31">
        <f t="shared" si="33"/>
        <v>0.85752782659636795</v>
      </c>
      <c r="G57" s="31">
        <f t="shared" si="33"/>
        <v>0.80216216216216218</v>
      </c>
      <c r="H57" s="31">
        <f t="shared" ref="H57" si="34">H56/H54</f>
        <v>0.7907003982197236</v>
      </c>
      <c r="I57"/>
      <c r="J57"/>
    </row>
    <row r="58" spans="1:10" ht="14" x14ac:dyDescent="0.2">
      <c r="A58" s="34" t="s">
        <v>118</v>
      </c>
      <c r="B58" s="31"/>
      <c r="C58" s="31">
        <f t="shared" ref="C58:H59" si="35">(C53-B53)/B53</f>
        <v>5.9870550161812294E-2</v>
      </c>
      <c r="D58" s="31">
        <f t="shared" si="35"/>
        <v>1.1450381679389313E-3</v>
      </c>
      <c r="E58" s="31">
        <f t="shared" si="35"/>
        <v>1.3470580759944084E-2</v>
      </c>
      <c r="F58" s="31">
        <f t="shared" si="35"/>
        <v>0.13391849529780564</v>
      </c>
      <c r="G58" s="31">
        <f t="shared" si="35"/>
        <v>-8.1831250691142329E-3</v>
      </c>
      <c r="H58" s="31">
        <f t="shared" si="35"/>
        <v>1.2710447095551344E-2</v>
      </c>
      <c r="I58"/>
      <c r="J58"/>
    </row>
    <row r="59" spans="1:10" ht="14" x14ac:dyDescent="0.2">
      <c r="A59" s="34" t="s">
        <v>119</v>
      </c>
      <c r="B59" s="31"/>
      <c r="C59" s="31">
        <f t="shared" si="35"/>
        <v>5.8006042296072508E-2</v>
      </c>
      <c r="D59" s="31">
        <f t="shared" si="35"/>
        <v>-2.3986293546544833E-2</v>
      </c>
      <c r="E59" s="31">
        <f t="shared" si="35"/>
        <v>7.0509069631363372E-2</v>
      </c>
      <c r="F59" s="31">
        <f t="shared" si="35"/>
        <v>0.16630226837933862</v>
      </c>
      <c r="G59" s="31">
        <f t="shared" si="35"/>
        <v>-2.4604569420035149E-2</v>
      </c>
      <c r="H59" s="31">
        <f t="shared" si="35"/>
        <v>2.5585585585585584E-2</v>
      </c>
      <c r="I59"/>
      <c r="J59"/>
    </row>
    <row r="60" spans="1:10" ht="15" x14ac:dyDescent="0.2">
      <c r="A60" s="201" t="s">
        <v>165</v>
      </c>
      <c r="B60" s="201"/>
      <c r="C60" s="201"/>
      <c r="D60" s="201"/>
      <c r="E60" s="201"/>
      <c r="F60" s="201"/>
      <c r="G60" s="201"/>
      <c r="H60" s="201"/>
      <c r="I60"/>
      <c r="J60"/>
    </row>
    <row r="61" spans="1:10" ht="14" x14ac:dyDescent="0.2">
      <c r="A61" s="34" t="s">
        <v>99</v>
      </c>
      <c r="B61" s="26">
        <v>5951</v>
      </c>
      <c r="C61" s="26">
        <v>6128</v>
      </c>
      <c r="D61" s="26">
        <v>6507</v>
      </c>
      <c r="E61" s="26">
        <v>6689</v>
      </c>
      <c r="F61" s="26">
        <v>6581</v>
      </c>
      <c r="G61" s="26">
        <v>6653</v>
      </c>
      <c r="H61" s="26">
        <v>6407</v>
      </c>
      <c r="I61"/>
      <c r="J61"/>
    </row>
    <row r="62" spans="1:10" ht="14" x14ac:dyDescent="0.2">
      <c r="A62" s="34" t="s">
        <v>100</v>
      </c>
      <c r="B62" s="26">
        <v>5130</v>
      </c>
      <c r="C62" s="26">
        <v>5336</v>
      </c>
      <c r="D62" s="26">
        <v>5785</v>
      </c>
      <c r="E62" s="26">
        <v>5796</v>
      </c>
      <c r="F62" s="26">
        <v>5672</v>
      </c>
      <c r="G62" s="26">
        <v>5743</v>
      </c>
      <c r="H62" s="26">
        <v>5511</v>
      </c>
      <c r="I62"/>
      <c r="J62"/>
    </row>
    <row r="63" spans="1:10" ht="14" x14ac:dyDescent="0.2">
      <c r="A63" s="34" t="s">
        <v>60</v>
      </c>
      <c r="B63" s="31">
        <f t="shared" ref="B63:G63" si="36">B62/B61</f>
        <v>0.86203999327844061</v>
      </c>
      <c r="C63" s="31">
        <f t="shared" si="36"/>
        <v>0.87075718015665793</v>
      </c>
      <c r="D63" s="31">
        <f t="shared" si="36"/>
        <v>0.88904256954049488</v>
      </c>
      <c r="E63" s="31">
        <f t="shared" si="36"/>
        <v>0.86649723426521152</v>
      </c>
      <c r="F63" s="31">
        <f t="shared" si="36"/>
        <v>0.86187509497036929</v>
      </c>
      <c r="G63" s="31">
        <f t="shared" si="36"/>
        <v>0.86321960018036981</v>
      </c>
      <c r="H63" s="31">
        <f t="shared" ref="H63" si="37">H62/H61</f>
        <v>0.86015295770251288</v>
      </c>
      <c r="I63"/>
      <c r="J63"/>
    </row>
    <row r="64" spans="1:10" s="3" customFormat="1" ht="14" x14ac:dyDescent="0.2">
      <c r="A64" s="34" t="s">
        <v>127</v>
      </c>
      <c r="B64" s="26">
        <v>3667</v>
      </c>
      <c r="C64" s="26">
        <v>3724</v>
      </c>
      <c r="D64" s="26">
        <v>3954</v>
      </c>
      <c r="E64" s="26">
        <v>3990</v>
      </c>
      <c r="F64" s="26">
        <v>4081</v>
      </c>
      <c r="G64" s="26">
        <v>4024</v>
      </c>
      <c r="H64" s="26">
        <v>3884</v>
      </c>
    </row>
    <row r="65" spans="1:10" ht="14" x14ac:dyDescent="0.2">
      <c r="A65" s="34" t="s">
        <v>61</v>
      </c>
      <c r="B65" s="31">
        <f t="shared" ref="B65:G65" si="38">B64/B62</f>
        <v>0.71481481481481479</v>
      </c>
      <c r="C65" s="31">
        <f t="shared" si="38"/>
        <v>0.69790104947526233</v>
      </c>
      <c r="D65" s="31">
        <f t="shared" si="38"/>
        <v>0.6834917891097666</v>
      </c>
      <c r="E65" s="31">
        <f t="shared" si="38"/>
        <v>0.68840579710144922</v>
      </c>
      <c r="F65" s="31">
        <f t="shared" si="38"/>
        <v>0.71949929478138219</v>
      </c>
      <c r="G65" s="31">
        <f t="shared" si="38"/>
        <v>0.70067908758488595</v>
      </c>
      <c r="H65" s="31">
        <f t="shared" ref="H65" si="39">H64/H62</f>
        <v>0.70477227363454908</v>
      </c>
      <c r="I65"/>
      <c r="J65"/>
    </row>
    <row r="66" spans="1:10" ht="14" x14ac:dyDescent="0.2">
      <c r="A66" s="34" t="s">
        <v>118</v>
      </c>
      <c r="B66" s="31"/>
      <c r="C66" s="31">
        <f t="shared" ref="C66:H67" si="40">(C61-B61)/B61</f>
        <v>2.9742900352881869E-2</v>
      </c>
      <c r="D66" s="31">
        <f t="shared" si="40"/>
        <v>6.1847258485639683E-2</v>
      </c>
      <c r="E66" s="31">
        <f t="shared" si="40"/>
        <v>2.7969878592285231E-2</v>
      </c>
      <c r="F66" s="31">
        <f t="shared" si="40"/>
        <v>-1.6145911197488413E-2</v>
      </c>
      <c r="G66" s="31">
        <f t="shared" si="40"/>
        <v>1.0940586537000457E-2</v>
      </c>
      <c r="H66" s="31">
        <f t="shared" si="40"/>
        <v>-3.6975800390801145E-2</v>
      </c>
      <c r="I66"/>
      <c r="J66"/>
    </row>
    <row r="67" spans="1:10" ht="14" x14ac:dyDescent="0.2">
      <c r="A67" s="34" t="s">
        <v>119</v>
      </c>
      <c r="B67" s="31"/>
      <c r="C67" s="31">
        <f t="shared" si="40"/>
        <v>4.0155945419103313E-2</v>
      </c>
      <c r="D67" s="31">
        <f t="shared" si="40"/>
        <v>8.4145427286356822E-2</v>
      </c>
      <c r="E67" s="31">
        <f t="shared" si="40"/>
        <v>1.9014693171996544E-3</v>
      </c>
      <c r="F67" s="31">
        <f t="shared" si="40"/>
        <v>-2.139406487232574E-2</v>
      </c>
      <c r="G67" s="31">
        <f t="shared" si="40"/>
        <v>1.2517630465444287E-2</v>
      </c>
      <c r="H67" s="31">
        <f t="shared" si="40"/>
        <v>-4.039700504962563E-2</v>
      </c>
      <c r="I67"/>
      <c r="J67"/>
    </row>
    <row r="68" spans="1:10" ht="15" x14ac:dyDescent="0.2">
      <c r="A68" s="201" t="s">
        <v>46</v>
      </c>
      <c r="B68" s="201"/>
      <c r="C68" s="201"/>
      <c r="D68" s="201"/>
      <c r="E68" s="201"/>
      <c r="F68" s="201"/>
      <c r="G68" s="201"/>
      <c r="H68" s="201"/>
      <c r="I68"/>
      <c r="J68"/>
    </row>
    <row r="69" spans="1:10" ht="14" x14ac:dyDescent="0.2">
      <c r="A69" s="34" t="s">
        <v>99</v>
      </c>
      <c r="B69" s="26">
        <v>1926</v>
      </c>
      <c r="C69" s="26">
        <v>2217</v>
      </c>
      <c r="D69" s="26">
        <v>2172</v>
      </c>
      <c r="E69" s="26">
        <v>2344</v>
      </c>
      <c r="F69" s="26">
        <v>2620</v>
      </c>
      <c r="G69" s="26">
        <v>2584</v>
      </c>
      <c r="H69" s="26">
        <v>2557</v>
      </c>
      <c r="I69" s="49"/>
      <c r="J69" s="49"/>
    </row>
    <row r="70" spans="1:10" ht="14" x14ac:dyDescent="0.2">
      <c r="A70" s="34" t="s">
        <v>100</v>
      </c>
      <c r="B70" s="26">
        <v>1584</v>
      </c>
      <c r="C70" s="26">
        <v>1833</v>
      </c>
      <c r="D70" s="26">
        <v>1747</v>
      </c>
      <c r="E70" s="26">
        <v>1707</v>
      </c>
      <c r="F70" s="26">
        <v>1989</v>
      </c>
      <c r="G70" s="26">
        <v>1981</v>
      </c>
      <c r="H70" s="26">
        <v>1967</v>
      </c>
      <c r="I70" s="189"/>
      <c r="J70" s="49"/>
    </row>
    <row r="71" spans="1:10" ht="14" x14ac:dyDescent="0.2">
      <c r="A71" s="34" t="s">
        <v>60</v>
      </c>
      <c r="B71" s="31">
        <f t="shared" ref="B71:G71" si="41">B70/B69</f>
        <v>0.82242990654205606</v>
      </c>
      <c r="C71" s="31">
        <f t="shared" si="41"/>
        <v>0.82679296346414077</v>
      </c>
      <c r="D71" s="31">
        <f t="shared" si="41"/>
        <v>0.80432780847145491</v>
      </c>
      <c r="E71" s="31">
        <f t="shared" si="41"/>
        <v>0.72824232081911267</v>
      </c>
      <c r="F71" s="31">
        <f t="shared" si="41"/>
        <v>0.75916030534351142</v>
      </c>
      <c r="G71" s="31">
        <f t="shared" si="41"/>
        <v>0.76664086687306499</v>
      </c>
      <c r="H71" s="31">
        <f t="shared" ref="H71" si="42">H70/H69</f>
        <v>0.7692608525615956</v>
      </c>
      <c r="I71" s="49"/>
      <c r="J71"/>
    </row>
    <row r="72" spans="1:10" ht="14" x14ac:dyDescent="0.2">
      <c r="A72" s="34" t="s">
        <v>127</v>
      </c>
      <c r="B72" s="26">
        <v>952</v>
      </c>
      <c r="C72" s="26">
        <v>1156</v>
      </c>
      <c r="D72" s="26">
        <v>1038</v>
      </c>
      <c r="E72" s="26">
        <v>1093</v>
      </c>
      <c r="F72" s="26">
        <v>1554</v>
      </c>
      <c r="G72" s="26">
        <v>1516</v>
      </c>
      <c r="H72" s="26">
        <v>1538</v>
      </c>
      <c r="I72"/>
      <c r="J72"/>
    </row>
    <row r="73" spans="1:10" ht="14" x14ac:dyDescent="0.2">
      <c r="A73" s="34" t="s">
        <v>61</v>
      </c>
      <c r="B73" s="31">
        <f t="shared" ref="B73:G73" si="43">B72/B70</f>
        <v>0.60101010101010099</v>
      </c>
      <c r="C73" s="31">
        <f t="shared" si="43"/>
        <v>0.63066012002182215</v>
      </c>
      <c r="D73" s="31">
        <f t="shared" si="43"/>
        <v>0.59416141957641666</v>
      </c>
      <c r="E73" s="31">
        <f t="shared" si="43"/>
        <v>0.64030462800234333</v>
      </c>
      <c r="F73" s="31">
        <f t="shared" si="43"/>
        <v>0.78129713423831071</v>
      </c>
      <c r="G73" s="31">
        <f t="shared" si="43"/>
        <v>0.76527006562342248</v>
      </c>
      <c r="H73" s="31">
        <f t="shared" ref="H73" si="44">H72/H70</f>
        <v>0.78190137264870363</v>
      </c>
      <c r="I73"/>
      <c r="J73"/>
    </row>
    <row r="74" spans="1:10" ht="14" x14ac:dyDescent="0.2">
      <c r="A74" s="34" t="s">
        <v>118</v>
      </c>
      <c r="B74" s="31"/>
      <c r="C74" s="31">
        <f>(C69-B69)/B69</f>
        <v>0.15109034267912771</v>
      </c>
      <c r="D74" s="31">
        <f t="shared" ref="D74:H75" si="45">(D69-C69)/C69</f>
        <v>-2.0297699594046009E-2</v>
      </c>
      <c r="E74" s="31">
        <f t="shared" si="45"/>
        <v>7.918968692449356E-2</v>
      </c>
      <c r="F74" s="31">
        <f t="shared" si="45"/>
        <v>0.11774744027303755</v>
      </c>
      <c r="G74" s="31">
        <f t="shared" si="45"/>
        <v>-1.3740458015267175E-2</v>
      </c>
      <c r="H74" s="31">
        <f t="shared" si="45"/>
        <v>-1.044891640866873E-2</v>
      </c>
      <c r="I74"/>
      <c r="J74"/>
    </row>
    <row r="75" spans="1:10" ht="14" x14ac:dyDescent="0.2">
      <c r="A75" s="34" t="s">
        <v>119</v>
      </c>
      <c r="B75" s="31"/>
      <c r="C75" s="31">
        <f>(C70-B70)/B70</f>
        <v>0.1571969696969697</v>
      </c>
      <c r="D75" s="31">
        <f t="shared" si="45"/>
        <v>-4.6917621385706494E-2</v>
      </c>
      <c r="E75" s="31">
        <f t="shared" si="45"/>
        <v>-2.2896393817973669E-2</v>
      </c>
      <c r="F75" s="31">
        <f t="shared" si="45"/>
        <v>0.16520210896309315</v>
      </c>
      <c r="G75" s="31">
        <f t="shared" si="45"/>
        <v>-4.0221216691804923E-3</v>
      </c>
      <c r="H75" s="31">
        <f t="shared" si="45"/>
        <v>-7.0671378091872791E-3</v>
      </c>
      <c r="I75"/>
      <c r="J75"/>
    </row>
    <row r="76" spans="1:10" x14ac:dyDescent="0.15">
      <c r="B76" s="199" t="s">
        <v>206</v>
      </c>
      <c r="C76" s="199"/>
      <c r="D76" s="199"/>
      <c r="E76" s="200"/>
      <c r="F76" s="200"/>
      <c r="G76"/>
      <c r="H76"/>
      <c r="I76"/>
      <c r="J76"/>
    </row>
    <row r="77" spans="1:10" x14ac:dyDescent="0.15">
      <c r="E77"/>
      <c r="F77"/>
      <c r="G77"/>
      <c r="H77"/>
      <c r="I77"/>
      <c r="J77"/>
    </row>
    <row r="78" spans="1:10" x14ac:dyDescent="0.15">
      <c r="E78"/>
      <c r="F78"/>
      <c r="G78"/>
      <c r="H78"/>
      <c r="I78"/>
      <c r="J78"/>
    </row>
    <row r="79" spans="1:10" x14ac:dyDescent="0.15">
      <c r="E79"/>
      <c r="F79"/>
      <c r="G79"/>
      <c r="H79"/>
      <c r="I79"/>
      <c r="J79"/>
    </row>
    <row r="80" spans="1:10" x14ac:dyDescent="0.15">
      <c r="E80"/>
      <c r="F80"/>
      <c r="G80"/>
      <c r="H80"/>
      <c r="I80"/>
      <c r="J80"/>
    </row>
  </sheetData>
  <mergeCells count="9">
    <mergeCell ref="A44:H44"/>
    <mergeCell ref="A52:H52"/>
    <mergeCell ref="A60:H60"/>
    <mergeCell ref="A68:H68"/>
    <mergeCell ref="A4:H4"/>
    <mergeCell ref="B12:H12"/>
    <mergeCell ref="B20:H20"/>
    <mergeCell ref="B28:H28"/>
    <mergeCell ref="B36:H36"/>
  </mergeCells>
  <phoneticPr fontId="5" type="noConversion"/>
  <hyperlinks>
    <hyperlink ref="A1" location="Contents!A1" display="&lt;Back to contents&gt;"/>
  </hyperlinks>
  <pageMargins left="0.39370078740157483" right="0.39370078740157483" top="0.39370078740157483" bottom="0.11811023622047245" header="0" footer="0"/>
  <pageSetup paperSize="9" scale="8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rgb="FF92D050"/>
    <pageSetUpPr fitToPage="1"/>
  </sheetPr>
  <dimension ref="A1:O58"/>
  <sheetViews>
    <sheetView showGridLines="0" workbookViewId="0">
      <pane xSplit="1" ySplit="4" topLeftCell="B38" activePane="bottomRight" state="frozen"/>
      <selection pane="topRight" activeCell="B1" sqref="B1"/>
      <selection pane="bottomLeft" activeCell="A6" sqref="A6"/>
      <selection pane="bottomRight" activeCell="M30" sqref="M30"/>
    </sheetView>
  </sheetViews>
  <sheetFormatPr baseColWidth="10" defaultColWidth="14.1640625" defaultRowHeight="13" x14ac:dyDescent="0.15"/>
  <cols>
    <col min="1" max="1" width="15.83203125" style="1" customWidth="1"/>
    <col min="2" max="2" width="16.5" style="2" customWidth="1"/>
    <col min="3" max="3" width="16.1640625" style="2" customWidth="1"/>
    <col min="4" max="11" width="16.5" style="2" customWidth="1"/>
    <col min="12" max="12" width="14.1640625" style="2" customWidth="1"/>
  </cols>
  <sheetData>
    <row r="1" spans="1:15" x14ac:dyDescent="0.15">
      <c r="A1" s="10" t="s">
        <v>56</v>
      </c>
      <c r="B1" s="11"/>
      <c r="C1" s="11"/>
    </row>
    <row r="2" spans="1:15" ht="19" x14ac:dyDescent="0.25">
      <c r="A2" s="14" t="s">
        <v>193</v>
      </c>
      <c r="B2"/>
      <c r="C2"/>
      <c r="D2"/>
      <c r="E2"/>
      <c r="F2"/>
      <c r="G2"/>
      <c r="H2"/>
      <c r="I2"/>
    </row>
    <row r="3" spans="1:15" ht="15" x14ac:dyDescent="0.2">
      <c r="A3" s="15"/>
      <c r="B3" s="205" t="s">
        <v>113</v>
      </c>
      <c r="C3" s="205"/>
      <c r="D3" s="205" t="s">
        <v>107</v>
      </c>
      <c r="E3" s="205"/>
      <c r="F3" s="205"/>
      <c r="G3" s="205"/>
      <c r="H3" s="205" t="s">
        <v>54</v>
      </c>
      <c r="I3" s="205"/>
      <c r="J3" s="205" t="s">
        <v>111</v>
      </c>
      <c r="K3" s="205"/>
    </row>
    <row r="4" spans="1:15" ht="30" x14ac:dyDescent="0.2">
      <c r="A4" s="28"/>
      <c r="B4" s="32" t="s">
        <v>66</v>
      </c>
      <c r="C4" s="32" t="s">
        <v>67</v>
      </c>
      <c r="D4" s="32" t="s">
        <v>121</v>
      </c>
      <c r="E4" s="32" t="s">
        <v>108</v>
      </c>
      <c r="F4" s="32" t="s">
        <v>109</v>
      </c>
      <c r="G4" s="32" t="s">
        <v>110</v>
      </c>
      <c r="H4" s="32" t="s">
        <v>68</v>
      </c>
      <c r="I4" s="32" t="s">
        <v>69</v>
      </c>
      <c r="J4" s="32" t="s">
        <v>111</v>
      </c>
      <c r="K4" s="32" t="s">
        <v>122</v>
      </c>
    </row>
    <row r="5" spans="1:15" ht="16" x14ac:dyDescent="0.2">
      <c r="A5" s="58"/>
      <c r="B5" s="202" t="s">
        <v>59</v>
      </c>
      <c r="C5" s="201"/>
      <c r="D5" s="201"/>
      <c r="E5" s="201"/>
      <c r="F5" s="201"/>
      <c r="G5" s="201"/>
      <c r="H5" s="201"/>
      <c r="I5" s="201"/>
      <c r="J5" s="201"/>
      <c r="K5" s="203"/>
    </row>
    <row r="6" spans="1:15" ht="14" x14ac:dyDescent="0.2">
      <c r="A6" s="34" t="s">
        <v>99</v>
      </c>
      <c r="B6" s="129">
        <v>209603</v>
      </c>
      <c r="C6" s="129">
        <v>137197</v>
      </c>
      <c r="D6" s="26">
        <v>190043</v>
      </c>
      <c r="E6" s="26">
        <v>76700</v>
      </c>
      <c r="F6" s="26">
        <v>58619</v>
      </c>
      <c r="G6" s="26">
        <v>21437</v>
      </c>
      <c r="H6" s="126">
        <v>204095</v>
      </c>
      <c r="I6" s="126">
        <v>142231</v>
      </c>
      <c r="J6" s="26">
        <v>304310</v>
      </c>
      <c r="K6" s="26">
        <v>40287</v>
      </c>
      <c r="L6" s="53"/>
      <c r="M6" s="53"/>
      <c r="N6" s="49"/>
      <c r="O6" s="49"/>
    </row>
    <row r="7" spans="1:15" s="5" customFormat="1" ht="14" x14ac:dyDescent="0.2">
      <c r="A7" s="34" t="s">
        <v>100</v>
      </c>
      <c r="B7" s="129">
        <v>166168</v>
      </c>
      <c r="C7" s="129">
        <v>120048</v>
      </c>
      <c r="D7" s="26">
        <v>163777</v>
      </c>
      <c r="E7" s="26">
        <v>57974</v>
      </c>
      <c r="F7" s="26">
        <v>46165</v>
      </c>
      <c r="G7" s="26">
        <v>18300</v>
      </c>
      <c r="H7" s="126">
        <v>169274</v>
      </c>
      <c r="I7" s="126">
        <v>116583</v>
      </c>
      <c r="J7" s="26">
        <v>253649</v>
      </c>
      <c r="K7" s="26">
        <v>31248</v>
      </c>
      <c r="L7" s="156"/>
    </row>
    <row r="8" spans="1:15" s="5" customFormat="1" ht="14" x14ac:dyDescent="0.2">
      <c r="A8" s="34" t="s">
        <v>60</v>
      </c>
      <c r="B8" s="130">
        <f>B7/B6</f>
        <v>0.79277491257281618</v>
      </c>
      <c r="C8" s="130">
        <f t="shared" ref="C8:K8" si="0">C7/C6</f>
        <v>0.87500455549319589</v>
      </c>
      <c r="D8" s="130">
        <f t="shared" si="0"/>
        <v>0.86178917402903554</v>
      </c>
      <c r="E8" s="130">
        <f t="shared" si="0"/>
        <v>0.75585397653194264</v>
      </c>
      <c r="F8" s="130">
        <f t="shared" si="0"/>
        <v>0.78754328801241913</v>
      </c>
      <c r="G8" s="130">
        <f t="shared" si="0"/>
        <v>0.85366422540467413</v>
      </c>
      <c r="H8" s="130">
        <f t="shared" si="0"/>
        <v>0.82938827506798307</v>
      </c>
      <c r="I8" s="130">
        <f t="shared" si="0"/>
        <v>0.81967362951817813</v>
      </c>
      <c r="J8" s="130">
        <f t="shared" si="0"/>
        <v>0.83352173770168581</v>
      </c>
      <c r="K8" s="130">
        <f t="shared" si="0"/>
        <v>0.77563482016531382</v>
      </c>
      <c r="L8" s="156"/>
    </row>
    <row r="9" spans="1:15" s="5" customFormat="1" ht="14" x14ac:dyDescent="0.2">
      <c r="A9" s="34" t="s">
        <v>127</v>
      </c>
      <c r="B9" s="129">
        <v>131749</v>
      </c>
      <c r="C9" s="129">
        <v>87541</v>
      </c>
      <c r="D9" s="26">
        <v>122080</v>
      </c>
      <c r="E9" s="26">
        <v>46709</v>
      </c>
      <c r="F9" s="26">
        <v>35967</v>
      </c>
      <c r="G9" s="26">
        <v>14534</v>
      </c>
      <c r="H9" s="26">
        <v>128264</v>
      </c>
      <c r="I9" s="26">
        <v>90761</v>
      </c>
      <c r="J9" s="26">
        <v>195145</v>
      </c>
      <c r="K9" s="26">
        <v>23181</v>
      </c>
      <c r="L9" s="156"/>
    </row>
    <row r="10" spans="1:15" s="5" customFormat="1" ht="14" x14ac:dyDescent="0.2">
      <c r="A10" s="34" t="s">
        <v>61</v>
      </c>
      <c r="B10" s="130">
        <f>B9/B7</f>
        <v>0.79286625583746573</v>
      </c>
      <c r="C10" s="130">
        <f t="shared" ref="C10:F10" si="1">C9/C7</f>
        <v>0.72921664667466346</v>
      </c>
      <c r="D10" s="130">
        <f t="shared" si="1"/>
        <v>0.74540381127997213</v>
      </c>
      <c r="E10" s="130">
        <f t="shared" si="1"/>
        <v>0.80568875702901299</v>
      </c>
      <c r="F10" s="130">
        <f t="shared" si="1"/>
        <v>0.77909671829307914</v>
      </c>
      <c r="G10" s="130">
        <f t="shared" ref="G10" si="2">G9/G7</f>
        <v>0.79420765027322404</v>
      </c>
      <c r="H10" s="130">
        <f t="shared" ref="H10" si="3">H9/H7</f>
        <v>0.75773007077282983</v>
      </c>
      <c r="I10" s="130">
        <f t="shared" ref="I10:J10" si="4">I9/I7</f>
        <v>0.77850973126442102</v>
      </c>
      <c r="J10" s="130">
        <f t="shared" si="4"/>
        <v>0.76935055923737128</v>
      </c>
      <c r="K10" s="130">
        <f t="shared" ref="K10" si="5">K9/K7</f>
        <v>0.74183947772657455</v>
      </c>
      <c r="L10" s="156"/>
    </row>
    <row r="11" spans="1:15" s="5" customFormat="1" ht="16" x14ac:dyDescent="0.2">
      <c r="A11" s="58"/>
      <c r="B11" s="202" t="s">
        <v>167</v>
      </c>
      <c r="C11" s="201"/>
      <c r="D11" s="201"/>
      <c r="E11" s="201"/>
      <c r="F11" s="201"/>
      <c r="G11" s="201"/>
      <c r="H11" s="201"/>
      <c r="I11" s="201"/>
      <c r="J11" s="201"/>
      <c r="K11" s="203"/>
      <c r="L11" s="156"/>
    </row>
    <row r="12" spans="1:15" s="5" customFormat="1" ht="14" x14ac:dyDescent="0.2">
      <c r="A12" s="34" t="s">
        <v>99</v>
      </c>
      <c r="B12" s="129">
        <v>64439</v>
      </c>
      <c r="C12" s="129">
        <v>43963</v>
      </c>
      <c r="D12" s="26">
        <v>61272</v>
      </c>
      <c r="E12" s="26">
        <v>23247</v>
      </c>
      <c r="F12" s="26">
        <v>17460</v>
      </c>
      <c r="G12" s="26">
        <v>6423</v>
      </c>
      <c r="H12" s="26">
        <v>63217</v>
      </c>
      <c r="I12" s="26">
        <v>45095</v>
      </c>
      <c r="J12" s="26">
        <v>95947</v>
      </c>
      <c r="K12" s="26">
        <v>12902</v>
      </c>
      <c r="L12" s="7"/>
    </row>
    <row r="13" spans="1:15" s="5" customFormat="1" ht="14" x14ac:dyDescent="0.2">
      <c r="A13" s="34" t="s">
        <v>100</v>
      </c>
      <c r="B13" s="26">
        <v>53434</v>
      </c>
      <c r="C13" s="26">
        <v>38643</v>
      </c>
      <c r="D13" s="26">
        <v>53488</v>
      </c>
      <c r="E13" s="26">
        <v>18418</v>
      </c>
      <c r="F13" s="26">
        <v>14489</v>
      </c>
      <c r="G13" s="26">
        <v>5682</v>
      </c>
      <c r="H13" s="26">
        <v>53940</v>
      </c>
      <c r="I13" s="26">
        <v>38062</v>
      </c>
      <c r="J13" s="26">
        <v>81218</v>
      </c>
      <c r="K13" s="26">
        <v>10484</v>
      </c>
      <c r="L13" s="7"/>
    </row>
    <row r="14" spans="1:15" s="5" customFormat="1" ht="14" x14ac:dyDescent="0.2">
      <c r="A14" s="34" t="s">
        <v>60</v>
      </c>
      <c r="B14" s="130">
        <f>B13/B12</f>
        <v>0.82921833051412963</v>
      </c>
      <c r="C14" s="130">
        <f t="shared" ref="C14" si="6">C13/C12</f>
        <v>0.87898914996701771</v>
      </c>
      <c r="D14" s="130">
        <f t="shared" ref="D14" si="7">D13/D12</f>
        <v>0.87295991643817727</v>
      </c>
      <c r="E14" s="130">
        <f t="shared" ref="E14" si="8">E13/E12</f>
        <v>0.79227427194906874</v>
      </c>
      <c r="F14" s="130">
        <f t="shared" ref="F14" si="9">F13/F12</f>
        <v>0.82983963344788092</v>
      </c>
      <c r="G14" s="130">
        <f t="shared" ref="G14" si="10">G13/G12</f>
        <v>0.8846333489023821</v>
      </c>
      <c r="H14" s="130">
        <f t="shared" ref="H14" si="11">H13/H12</f>
        <v>0.85325149880570095</v>
      </c>
      <c r="I14" s="130">
        <f t="shared" ref="I14" si="12">I13/I12</f>
        <v>0.84404035924160103</v>
      </c>
      <c r="J14" s="130">
        <f t="shared" ref="J14" si="13">J13/J12</f>
        <v>0.84648816534128213</v>
      </c>
      <c r="K14" s="130">
        <f t="shared" ref="K14" si="14">K13/K12</f>
        <v>0.81258719578359939</v>
      </c>
      <c r="L14" s="7"/>
    </row>
    <row r="15" spans="1:15" s="5" customFormat="1" ht="14" x14ac:dyDescent="0.2">
      <c r="A15" s="34" t="s">
        <v>127</v>
      </c>
      <c r="B15" s="129">
        <v>39780</v>
      </c>
      <c r="C15" s="129">
        <v>25112</v>
      </c>
      <c r="D15" s="26">
        <v>35867</v>
      </c>
      <c r="E15" s="26">
        <v>14151</v>
      </c>
      <c r="F15" s="26">
        <v>10605</v>
      </c>
      <c r="G15" s="26">
        <v>4269</v>
      </c>
      <c r="H15" s="26">
        <v>37499</v>
      </c>
      <c r="I15" s="26">
        <v>27341</v>
      </c>
      <c r="J15" s="26">
        <v>56446</v>
      </c>
      <c r="K15" s="26">
        <v>8154</v>
      </c>
      <c r="L15" s="7"/>
    </row>
    <row r="16" spans="1:15" s="5" customFormat="1" ht="14" x14ac:dyDescent="0.2">
      <c r="A16" s="34" t="s">
        <v>61</v>
      </c>
      <c r="B16" s="130">
        <f>B15/B13</f>
        <v>0.74446981322753303</v>
      </c>
      <c r="C16" s="130">
        <f t="shared" ref="C16" si="15">C15/C13</f>
        <v>0.649846026447222</v>
      </c>
      <c r="D16" s="130">
        <f t="shared" ref="D16" si="16">D15/D13</f>
        <v>0.67056162129823516</v>
      </c>
      <c r="E16" s="130">
        <f t="shared" ref="E16" si="17">E15/E13</f>
        <v>0.76832446519708986</v>
      </c>
      <c r="F16" s="130">
        <f t="shared" ref="F16" si="18">F15/F13</f>
        <v>0.73193457105390292</v>
      </c>
      <c r="G16" s="130">
        <f t="shared" ref="G16" si="19">G15/G13</f>
        <v>0.75131995776135163</v>
      </c>
      <c r="H16" s="130">
        <f t="shared" ref="H16" si="20">H15/H13</f>
        <v>0.69519836855765671</v>
      </c>
      <c r="I16" s="130">
        <f t="shared" ref="I16" si="21">I15/I13</f>
        <v>0.71832799117229784</v>
      </c>
      <c r="J16" s="130">
        <f t="shared" ref="J16" si="22">J15/J13</f>
        <v>0.69499372060380704</v>
      </c>
      <c r="K16" s="130">
        <f t="shared" ref="K16" si="23">K15/K13</f>
        <v>0.77775658145745896</v>
      </c>
      <c r="L16" s="7"/>
    </row>
    <row r="17" spans="1:15" s="5" customFormat="1" ht="16" x14ac:dyDescent="0.2">
      <c r="A17" s="58"/>
      <c r="B17" s="202" t="s">
        <v>62</v>
      </c>
      <c r="C17" s="201"/>
      <c r="D17" s="201"/>
      <c r="E17" s="201"/>
      <c r="F17" s="201"/>
      <c r="G17" s="201"/>
      <c r="H17" s="201"/>
      <c r="I17" s="201"/>
      <c r="J17" s="201"/>
      <c r="K17" s="203"/>
      <c r="L17" s="7"/>
    </row>
    <row r="18" spans="1:15" s="5" customFormat="1" ht="14" x14ac:dyDescent="0.2">
      <c r="A18" s="34" t="s">
        <v>99</v>
      </c>
      <c r="B18" s="129">
        <v>52755</v>
      </c>
      <c r="C18" s="129">
        <v>39917</v>
      </c>
      <c r="D18" s="26">
        <v>50750</v>
      </c>
      <c r="E18" s="26">
        <v>23605</v>
      </c>
      <c r="F18" s="26">
        <v>14075</v>
      </c>
      <c r="G18" s="26">
        <v>4241</v>
      </c>
      <c r="H18" s="26">
        <v>53715</v>
      </c>
      <c r="I18" s="26">
        <v>38696</v>
      </c>
      <c r="J18" s="26">
        <v>84961</v>
      </c>
      <c r="K18" s="26">
        <v>6493</v>
      </c>
      <c r="L18" s="7"/>
    </row>
    <row r="19" spans="1:15" s="5" customFormat="1" ht="14" x14ac:dyDescent="0.2">
      <c r="A19" s="34" t="s">
        <v>100</v>
      </c>
      <c r="B19" s="26">
        <v>38298</v>
      </c>
      <c r="C19" s="26">
        <v>33447</v>
      </c>
      <c r="D19" s="26">
        <v>41644</v>
      </c>
      <c r="E19" s="26">
        <v>16540</v>
      </c>
      <c r="F19" s="26">
        <v>10190</v>
      </c>
      <c r="G19" s="26">
        <v>3371</v>
      </c>
      <c r="H19" s="26">
        <v>41847</v>
      </c>
      <c r="I19" s="26">
        <v>29710</v>
      </c>
      <c r="J19" s="26">
        <v>66412</v>
      </c>
      <c r="K19" s="26">
        <v>4642</v>
      </c>
      <c r="L19" s="7"/>
      <c r="N19" s="140"/>
      <c r="O19" s="140"/>
    </row>
    <row r="20" spans="1:15" s="5" customFormat="1" ht="14" x14ac:dyDescent="0.2">
      <c r="A20" s="34" t="s">
        <v>60</v>
      </c>
      <c r="B20" s="31">
        <f>B19/B18</f>
        <v>0.72595962468012509</v>
      </c>
      <c r="C20" s="31">
        <f t="shared" ref="C20" si="24">C19/C18</f>
        <v>0.83791367086704915</v>
      </c>
      <c r="D20" s="31">
        <f t="shared" ref="D20" si="25">D19/D18</f>
        <v>0.82057142857142862</v>
      </c>
      <c r="E20" s="31">
        <f t="shared" ref="E20" si="26">E19/E18</f>
        <v>0.70069900444821009</v>
      </c>
      <c r="F20" s="31">
        <f t="shared" ref="F20" si="27">F19/F18</f>
        <v>0.72397868561278866</v>
      </c>
      <c r="G20" s="31">
        <f t="shared" ref="G20" si="28">G19/G18</f>
        <v>0.79485970290025942</v>
      </c>
      <c r="H20" s="31">
        <f t="shared" ref="H20" si="29">H19/H18</f>
        <v>0.77905612957274506</v>
      </c>
      <c r="I20" s="31">
        <f t="shared" ref="I20" si="30">I19/I18</f>
        <v>0.76777961546413065</v>
      </c>
      <c r="J20" s="31">
        <f t="shared" ref="J20" si="31">J19/J18</f>
        <v>0.78167629853697584</v>
      </c>
      <c r="K20" s="31">
        <f t="shared" ref="K20" si="32">K19/K18</f>
        <v>0.71492376405359614</v>
      </c>
      <c r="L20" s="7"/>
    </row>
    <row r="21" spans="1:15" s="5" customFormat="1" ht="14" x14ac:dyDescent="0.2">
      <c r="A21" s="34" t="s">
        <v>127</v>
      </c>
      <c r="B21" s="129">
        <v>30359</v>
      </c>
      <c r="C21" s="129">
        <v>25592</v>
      </c>
      <c r="D21" s="26">
        <v>32287</v>
      </c>
      <c r="E21" s="26">
        <v>13262</v>
      </c>
      <c r="F21" s="26">
        <v>7758</v>
      </c>
      <c r="G21" s="26">
        <v>2644</v>
      </c>
      <c r="H21" s="26">
        <v>32178</v>
      </c>
      <c r="I21" s="26">
        <v>23633</v>
      </c>
      <c r="J21" s="26">
        <v>52010</v>
      </c>
      <c r="K21" s="26">
        <v>3458</v>
      </c>
      <c r="L21" s="7"/>
      <c r="N21" s="140"/>
      <c r="O21" s="140"/>
    </row>
    <row r="22" spans="1:15" s="5" customFormat="1" ht="14" x14ac:dyDescent="0.2">
      <c r="A22" s="34" t="s">
        <v>61</v>
      </c>
      <c r="B22" s="31">
        <f>B21/B19</f>
        <v>0.79270457987362264</v>
      </c>
      <c r="C22" s="31">
        <f t="shared" ref="C22" si="33">C21/C19</f>
        <v>0.76515083565043207</v>
      </c>
      <c r="D22" s="31">
        <f t="shared" ref="D22" si="34">D21/D19</f>
        <v>0.77530976851407163</v>
      </c>
      <c r="E22" s="31">
        <f t="shared" ref="E22" si="35">E21/E19</f>
        <v>0.80181378476420795</v>
      </c>
      <c r="F22" s="31">
        <f t="shared" ref="F22" si="36">F21/F19</f>
        <v>0.76133464180569188</v>
      </c>
      <c r="G22" s="31">
        <f t="shared" ref="G22" si="37">G21/G19</f>
        <v>0.78433699199050722</v>
      </c>
      <c r="H22" s="31">
        <f t="shared" ref="H22" si="38">H21/H19</f>
        <v>0.76894401032332071</v>
      </c>
      <c r="I22" s="31">
        <f t="shared" ref="I22" si="39">I21/I19</f>
        <v>0.79545607539548968</v>
      </c>
      <c r="J22" s="31">
        <f t="shared" ref="J22" si="40">J21/J19</f>
        <v>0.78314160091549723</v>
      </c>
      <c r="K22" s="31">
        <f t="shared" ref="K22" si="41">K21/K19</f>
        <v>0.74493752692804827</v>
      </c>
      <c r="L22" s="7"/>
      <c r="N22" s="140"/>
      <c r="O22" s="140"/>
    </row>
    <row r="23" spans="1:15" s="6" customFormat="1" ht="16" x14ac:dyDescent="0.2">
      <c r="A23" s="58"/>
      <c r="B23" s="202" t="s">
        <v>63</v>
      </c>
      <c r="C23" s="201"/>
      <c r="D23" s="201"/>
      <c r="E23" s="201"/>
      <c r="F23" s="201"/>
      <c r="G23" s="201"/>
      <c r="H23" s="201"/>
      <c r="I23" s="201"/>
      <c r="J23" s="201"/>
      <c r="K23" s="203"/>
      <c r="L23" s="12"/>
      <c r="N23" s="157"/>
      <c r="O23" s="157"/>
    </row>
    <row r="24" spans="1:15" s="5" customFormat="1" ht="14" x14ac:dyDescent="0.2">
      <c r="A24" s="34" t="s">
        <v>99</v>
      </c>
      <c r="B24" s="129">
        <v>40911</v>
      </c>
      <c r="C24" s="129">
        <v>25526</v>
      </c>
      <c r="D24" s="26">
        <v>36712</v>
      </c>
      <c r="E24" s="26">
        <v>12443</v>
      </c>
      <c r="F24" s="26">
        <v>12341</v>
      </c>
      <c r="G24" s="26">
        <v>4941</v>
      </c>
      <c r="H24" s="26">
        <v>40232</v>
      </c>
      <c r="I24" s="26">
        <v>26115</v>
      </c>
      <c r="J24" s="26">
        <v>57445</v>
      </c>
      <c r="K24" s="26">
        <v>8669</v>
      </c>
      <c r="L24" s="44"/>
      <c r="M24" s="45"/>
      <c r="N24" s="192"/>
      <c r="O24" s="140"/>
    </row>
    <row r="25" spans="1:15" s="5" customFormat="1" ht="14" x14ac:dyDescent="0.2">
      <c r="A25" s="34" t="s">
        <v>100</v>
      </c>
      <c r="B25" s="26">
        <v>34003</v>
      </c>
      <c r="C25" s="26">
        <v>23689</v>
      </c>
      <c r="D25" s="26">
        <v>33208</v>
      </c>
      <c r="E25" s="26">
        <v>10047</v>
      </c>
      <c r="F25" s="26">
        <v>10164</v>
      </c>
      <c r="G25" s="26">
        <v>4273</v>
      </c>
      <c r="H25" s="26">
        <v>35141</v>
      </c>
      <c r="I25" s="26">
        <v>22474</v>
      </c>
      <c r="J25" s="26">
        <v>50108</v>
      </c>
      <c r="K25" s="26">
        <v>7361</v>
      </c>
      <c r="L25" s="44"/>
      <c r="M25" s="45"/>
      <c r="N25" s="192"/>
      <c r="O25" s="140"/>
    </row>
    <row r="26" spans="1:15" s="5" customFormat="1" ht="14" x14ac:dyDescent="0.2">
      <c r="A26" s="34" t="s">
        <v>60</v>
      </c>
      <c r="B26" s="31">
        <f>B25/B24</f>
        <v>0.83114565764708759</v>
      </c>
      <c r="C26" s="31">
        <f t="shared" ref="C26" si="42">C25/C24</f>
        <v>0.9280341612473556</v>
      </c>
      <c r="D26" s="31">
        <f t="shared" ref="D26" si="43">D25/D24</f>
        <v>0.90455436914360432</v>
      </c>
      <c r="E26" s="31">
        <f t="shared" ref="E26" si="44">E25/E24</f>
        <v>0.80744193522462426</v>
      </c>
      <c r="F26" s="31">
        <f t="shared" ref="F26" si="45">F25/F24</f>
        <v>0.82359614293817351</v>
      </c>
      <c r="G26" s="31">
        <f t="shared" ref="G26" si="46">G25/G24</f>
        <v>0.8648046954057883</v>
      </c>
      <c r="H26" s="31">
        <f t="shared" ref="H26" si="47">H25/H24</f>
        <v>0.8734589381586797</v>
      </c>
      <c r="I26" s="31">
        <f t="shared" ref="I26" si="48">I25/I24</f>
        <v>0.86057821175569593</v>
      </c>
      <c r="J26" s="31">
        <f t="shared" ref="J26" si="49">J25/J24</f>
        <v>0.87227783096875267</v>
      </c>
      <c r="K26" s="31">
        <f t="shared" ref="K26" si="50">K25/K24</f>
        <v>0.84911754527627181</v>
      </c>
      <c r="L26" s="44"/>
      <c r="M26" s="45"/>
      <c r="N26" s="192"/>
      <c r="O26" s="140"/>
    </row>
    <row r="27" spans="1:15" s="5" customFormat="1" ht="14" x14ac:dyDescent="0.2">
      <c r="A27" s="34" t="s">
        <v>127</v>
      </c>
      <c r="B27" s="129">
        <v>27985</v>
      </c>
      <c r="C27" s="129">
        <v>18742</v>
      </c>
      <c r="D27" s="26">
        <v>26715</v>
      </c>
      <c r="E27" s="26">
        <v>8358</v>
      </c>
      <c r="F27" s="26">
        <v>8265</v>
      </c>
      <c r="G27" s="26">
        <v>3389</v>
      </c>
      <c r="H27" s="26">
        <v>28184</v>
      </c>
      <c r="I27" s="26">
        <v>18484</v>
      </c>
      <c r="J27" s="26">
        <v>40996</v>
      </c>
      <c r="K27" s="26">
        <v>5561</v>
      </c>
      <c r="L27" s="193"/>
      <c r="M27" s="194"/>
      <c r="N27" s="192"/>
      <c r="O27" s="140"/>
    </row>
    <row r="28" spans="1:15" s="5" customFormat="1" ht="14" x14ac:dyDescent="0.2">
      <c r="A28" s="34" t="s">
        <v>61</v>
      </c>
      <c r="B28" s="130">
        <f>B27/B25</f>
        <v>0.82301561626915276</v>
      </c>
      <c r="C28" s="130">
        <f t="shared" ref="C28" si="51">C27/C25</f>
        <v>0.79116889695639325</v>
      </c>
      <c r="D28" s="130">
        <f t="shared" ref="D28" si="52">D27/D25</f>
        <v>0.80447482534329073</v>
      </c>
      <c r="E28" s="130">
        <f t="shared" ref="E28" si="53">E27/E25</f>
        <v>0.83189011645267241</v>
      </c>
      <c r="F28" s="130">
        <f t="shared" ref="F28" si="54">F27/F25</f>
        <v>0.81316410861865407</v>
      </c>
      <c r="G28" s="130">
        <f t="shared" ref="G28" si="55">G27/G25</f>
        <v>0.79311958811139716</v>
      </c>
      <c r="H28" s="130">
        <f t="shared" ref="H28" si="56">H27/H25</f>
        <v>0.80202612333172074</v>
      </c>
      <c r="I28" s="130">
        <f t="shared" ref="I28" si="57">I27/I25</f>
        <v>0.82246151107946963</v>
      </c>
      <c r="J28" s="130">
        <f t="shared" ref="J28" si="58">J27/J25</f>
        <v>0.81815278997365692</v>
      </c>
      <c r="K28" s="130">
        <f t="shared" ref="K28" si="59">K27/K25</f>
        <v>0.75546800706425754</v>
      </c>
      <c r="L28" s="195"/>
      <c r="M28" s="195"/>
      <c r="N28" s="45"/>
    </row>
    <row r="29" spans="1:15" s="5" customFormat="1" ht="16" x14ac:dyDescent="0.2">
      <c r="A29" s="58"/>
      <c r="B29" s="202" t="s">
        <v>64</v>
      </c>
      <c r="C29" s="201"/>
      <c r="D29" s="201"/>
      <c r="E29" s="201"/>
      <c r="F29" s="201"/>
      <c r="G29" s="201"/>
      <c r="H29" s="201"/>
      <c r="I29" s="201"/>
      <c r="J29" s="201"/>
      <c r="K29" s="203"/>
      <c r="L29" s="44"/>
      <c r="M29" s="45"/>
      <c r="N29" s="45"/>
    </row>
    <row r="30" spans="1:15" s="6" customFormat="1" ht="14" x14ac:dyDescent="0.2">
      <c r="A30" s="34" t="s">
        <v>99</v>
      </c>
      <c r="B30" s="129">
        <v>19614</v>
      </c>
      <c r="C30" s="129">
        <v>12496</v>
      </c>
      <c r="D30" s="26">
        <v>17508</v>
      </c>
      <c r="E30" s="26">
        <v>7035</v>
      </c>
      <c r="F30" s="26">
        <v>5622</v>
      </c>
      <c r="G30" s="26">
        <v>1945</v>
      </c>
      <c r="H30" s="26">
        <v>18816</v>
      </c>
      <c r="I30" s="26">
        <v>13278</v>
      </c>
      <c r="J30" s="26">
        <v>28838</v>
      </c>
      <c r="K30" s="26">
        <v>3265</v>
      </c>
      <c r="L30" s="196"/>
      <c r="M30" s="196"/>
      <c r="N30" s="197"/>
    </row>
    <row r="31" spans="1:15" s="5" customFormat="1" ht="14" x14ac:dyDescent="0.2">
      <c r="A31" s="34" t="s">
        <v>100</v>
      </c>
      <c r="B31" s="26">
        <v>15187</v>
      </c>
      <c r="C31" s="26">
        <v>10384</v>
      </c>
      <c r="D31" s="26">
        <v>14629</v>
      </c>
      <c r="E31" s="26">
        <v>5081</v>
      </c>
      <c r="F31" s="26">
        <v>4252</v>
      </c>
      <c r="G31" s="26">
        <v>1609</v>
      </c>
      <c r="H31" s="26">
        <v>14960</v>
      </c>
      <c r="I31" s="26">
        <v>10600</v>
      </c>
      <c r="J31" s="26">
        <v>23229</v>
      </c>
      <c r="K31" s="26">
        <v>2335</v>
      </c>
      <c r="L31" s="44"/>
      <c r="M31" s="45"/>
      <c r="N31" s="45"/>
    </row>
    <row r="32" spans="1:15" s="5" customFormat="1" ht="14" x14ac:dyDescent="0.2">
      <c r="A32" s="34" t="s">
        <v>60</v>
      </c>
      <c r="B32" s="31">
        <f>B31/B30</f>
        <v>0.77429387172427855</v>
      </c>
      <c r="C32" s="31">
        <f t="shared" ref="C32" si="60">C31/C30</f>
        <v>0.83098591549295775</v>
      </c>
      <c r="D32" s="31">
        <f t="shared" ref="D32" si="61">D31/D30</f>
        <v>0.83556088645190774</v>
      </c>
      <c r="E32" s="31">
        <f t="shared" ref="E32" si="62">E31/E30</f>
        <v>0.72224591329068943</v>
      </c>
      <c r="F32" s="31">
        <f t="shared" ref="F32" si="63">F31/F30</f>
        <v>0.7563144788331555</v>
      </c>
      <c r="G32" s="31">
        <f t="shared" ref="G32" si="64">G31/G30</f>
        <v>0.8272493573264782</v>
      </c>
      <c r="H32" s="31">
        <f t="shared" ref="H32" si="65">H31/H30</f>
        <v>0.79506802721088432</v>
      </c>
      <c r="I32" s="31">
        <f t="shared" ref="I32" si="66">I31/I30</f>
        <v>0.79831299894562435</v>
      </c>
      <c r="J32" s="31">
        <f t="shared" ref="J32" si="67">J31/J30</f>
        <v>0.80549968791178306</v>
      </c>
      <c r="K32" s="31">
        <f t="shared" ref="K32" si="68">K31/K30</f>
        <v>0.71516079632465546</v>
      </c>
      <c r="L32" s="44"/>
      <c r="M32" s="45"/>
      <c r="N32" s="45"/>
    </row>
    <row r="33" spans="1:14" s="5" customFormat="1" ht="14" x14ac:dyDescent="0.2">
      <c r="A33" s="34" t="s">
        <v>127</v>
      </c>
      <c r="B33" s="129">
        <v>12818</v>
      </c>
      <c r="C33" s="129">
        <v>8003</v>
      </c>
      <c r="D33" s="26">
        <v>11535</v>
      </c>
      <c r="E33" s="26">
        <v>4392</v>
      </c>
      <c r="F33" s="26">
        <v>3547</v>
      </c>
      <c r="G33" s="26">
        <v>1347</v>
      </c>
      <c r="H33" s="26">
        <v>12085</v>
      </c>
      <c r="I33" s="26">
        <v>8726</v>
      </c>
      <c r="J33" s="26">
        <v>19154</v>
      </c>
      <c r="K33" s="26">
        <v>1663</v>
      </c>
      <c r="L33" s="44"/>
      <c r="M33" s="45"/>
      <c r="N33" s="45"/>
    </row>
    <row r="34" spans="1:14" s="5" customFormat="1" ht="14" x14ac:dyDescent="0.2">
      <c r="A34" s="34" t="s">
        <v>61</v>
      </c>
      <c r="B34" s="130">
        <f>B33/B31</f>
        <v>0.84401132547573587</v>
      </c>
      <c r="C34" s="130">
        <f t="shared" ref="C34" si="69">C33/C31</f>
        <v>0.77070493066255774</v>
      </c>
      <c r="D34" s="130">
        <f t="shared" ref="D34" si="70">D33/D31</f>
        <v>0.78850228997197347</v>
      </c>
      <c r="E34" s="130">
        <f t="shared" ref="E34" si="71">E33/E31</f>
        <v>0.86439677228891953</v>
      </c>
      <c r="F34" s="130">
        <f t="shared" ref="F34" si="72">F33/F31</f>
        <v>0.83419567262464722</v>
      </c>
      <c r="G34" s="130">
        <f t="shared" ref="G34" si="73">G33/G31</f>
        <v>0.83716594157862023</v>
      </c>
      <c r="H34" s="130">
        <f t="shared" ref="H34" si="74">H33/H31</f>
        <v>0.8078208556149733</v>
      </c>
      <c r="I34" s="130">
        <f t="shared" ref="I34" si="75">I33/I31</f>
        <v>0.82320754716981137</v>
      </c>
      <c r="J34" s="130">
        <f t="shared" ref="J34" si="76">J33/J31</f>
        <v>0.82457273236041151</v>
      </c>
      <c r="K34" s="130">
        <f t="shared" ref="K34" si="77">K33/K31</f>
        <v>0.71220556745182018</v>
      </c>
      <c r="L34" s="192"/>
      <c r="M34" s="192"/>
      <c r="N34" s="45"/>
    </row>
    <row r="35" spans="1:14" s="6" customFormat="1" ht="16" x14ac:dyDescent="0.2">
      <c r="A35" s="58"/>
      <c r="B35" s="202" t="s">
        <v>166</v>
      </c>
      <c r="C35" s="201"/>
      <c r="D35" s="201"/>
      <c r="E35" s="201"/>
      <c r="F35" s="201"/>
      <c r="G35" s="201"/>
      <c r="H35" s="201"/>
      <c r="I35" s="201"/>
      <c r="J35" s="201"/>
      <c r="K35" s="203"/>
      <c r="L35" s="198"/>
      <c r="M35" s="198"/>
      <c r="N35" s="197"/>
    </row>
    <row r="36" spans="1:14" s="5" customFormat="1" ht="14" x14ac:dyDescent="0.2">
      <c r="A36" s="34" t="s">
        <v>99</v>
      </c>
      <c r="B36" s="129">
        <v>15773</v>
      </c>
      <c r="C36" s="129">
        <v>10279</v>
      </c>
      <c r="D36" s="26">
        <v>14065</v>
      </c>
      <c r="E36" s="26">
        <v>5635</v>
      </c>
      <c r="F36" s="26">
        <v>4700</v>
      </c>
      <c r="G36" s="26">
        <v>1652</v>
      </c>
      <c r="H36" s="26">
        <v>15442</v>
      </c>
      <c r="I36" s="26">
        <v>10603</v>
      </c>
      <c r="J36" s="26">
        <v>23775</v>
      </c>
      <c r="K36" s="26">
        <v>2274</v>
      </c>
      <c r="L36" s="45"/>
      <c r="M36" s="45"/>
      <c r="N36" s="45"/>
    </row>
    <row r="37" spans="1:14" s="5" customFormat="1" ht="14" x14ac:dyDescent="0.2">
      <c r="A37" s="34" t="s">
        <v>100</v>
      </c>
      <c r="B37" s="26">
        <v>11828</v>
      </c>
      <c r="C37" s="26">
        <v>9205</v>
      </c>
      <c r="D37" s="26">
        <v>12201</v>
      </c>
      <c r="E37" s="26">
        <v>4119</v>
      </c>
      <c r="F37" s="26">
        <v>3405</v>
      </c>
      <c r="G37" s="26">
        <v>1308</v>
      </c>
      <c r="H37" s="26">
        <v>12466</v>
      </c>
      <c r="I37" s="26">
        <v>8561</v>
      </c>
      <c r="J37" s="26">
        <v>19227</v>
      </c>
      <c r="K37" s="26">
        <v>1806</v>
      </c>
      <c r="L37" s="198"/>
      <c r="M37" s="198"/>
      <c r="N37" s="45"/>
    </row>
    <row r="38" spans="1:14" s="5" customFormat="1" ht="14" x14ac:dyDescent="0.2">
      <c r="A38" s="34" t="s">
        <v>60</v>
      </c>
      <c r="B38" s="31">
        <f>B37/B36</f>
        <v>0.74988905090978253</v>
      </c>
      <c r="C38" s="31">
        <f t="shared" ref="C38" si="78">C37/C36</f>
        <v>0.89551512793073251</v>
      </c>
      <c r="D38" s="31">
        <f t="shared" ref="D38" si="79">D37/D36</f>
        <v>0.86747244934233914</v>
      </c>
      <c r="E38" s="31">
        <f t="shared" ref="E38" si="80">E37/E36</f>
        <v>0.73096716947648621</v>
      </c>
      <c r="F38" s="31">
        <f t="shared" ref="F38" si="81">F37/F36</f>
        <v>0.72446808510638294</v>
      </c>
      <c r="G38" s="31">
        <f t="shared" ref="G38" si="82">G37/G36</f>
        <v>0.79176755447941893</v>
      </c>
      <c r="H38" s="31">
        <f t="shared" ref="H38" si="83">H37/H36</f>
        <v>0.80727884988991061</v>
      </c>
      <c r="I38" s="31">
        <f t="shared" ref="I38" si="84">I37/I36</f>
        <v>0.80741299632179575</v>
      </c>
      <c r="J38" s="31">
        <f t="shared" ref="J38" si="85">J37/J36</f>
        <v>0.80870662460567821</v>
      </c>
      <c r="K38" s="31">
        <f t="shared" ref="K38" si="86">K37/K36</f>
        <v>0.79419525065963059</v>
      </c>
      <c r="L38" s="44"/>
      <c r="M38" s="45"/>
      <c r="N38" s="45"/>
    </row>
    <row r="39" spans="1:14" s="6" customFormat="1" ht="14" x14ac:dyDescent="0.2">
      <c r="A39" s="34" t="s">
        <v>127</v>
      </c>
      <c r="B39" s="26">
        <v>10394</v>
      </c>
      <c r="C39" s="26">
        <v>7116</v>
      </c>
      <c r="D39" s="26">
        <v>9827</v>
      </c>
      <c r="E39" s="26">
        <v>3645</v>
      </c>
      <c r="F39" s="26">
        <v>2922</v>
      </c>
      <c r="G39" s="26">
        <v>1116</v>
      </c>
      <c r="H39" s="131">
        <v>10310</v>
      </c>
      <c r="I39" s="132">
        <v>7196</v>
      </c>
      <c r="J39" s="26">
        <v>16177</v>
      </c>
      <c r="K39" s="26">
        <v>1333</v>
      </c>
      <c r="L39" s="12"/>
      <c r="M39" s="5"/>
    </row>
    <row r="40" spans="1:14" s="5" customFormat="1" ht="14" x14ac:dyDescent="0.2">
      <c r="A40" s="34" t="s">
        <v>61</v>
      </c>
      <c r="B40" s="130">
        <f>B39/B37</f>
        <v>0.87876225904633076</v>
      </c>
      <c r="C40" s="130">
        <f t="shared" ref="C40" si="87">C39/C37</f>
        <v>0.7730581205866377</v>
      </c>
      <c r="D40" s="130">
        <f t="shared" ref="D40" si="88">D39/D37</f>
        <v>0.80542578477173998</v>
      </c>
      <c r="E40" s="130">
        <f t="shared" ref="E40" si="89">E39/E37</f>
        <v>0.88492352512745809</v>
      </c>
      <c r="F40" s="130">
        <f t="shared" ref="F40" si="90">F39/F37</f>
        <v>0.85814977973568285</v>
      </c>
      <c r="G40" s="130">
        <f t="shared" ref="G40" si="91">G39/G37</f>
        <v>0.85321100917431192</v>
      </c>
      <c r="H40" s="130">
        <f t="shared" ref="H40" si="92">H39/H37</f>
        <v>0.82704957484357455</v>
      </c>
      <c r="I40" s="130">
        <f t="shared" ref="I40" si="93">I39/I37</f>
        <v>0.8405560098119379</v>
      </c>
      <c r="J40" s="130">
        <f t="shared" ref="J40" si="94">J39/J37</f>
        <v>0.84136890830602795</v>
      </c>
      <c r="K40" s="130">
        <f t="shared" ref="K40" si="95">K39/K37</f>
        <v>0.73809523809523814</v>
      </c>
      <c r="L40" s="7"/>
    </row>
    <row r="41" spans="1:14" s="5" customFormat="1" ht="16" x14ac:dyDescent="0.2">
      <c r="A41" s="58"/>
      <c r="B41" s="202" t="s">
        <v>65</v>
      </c>
      <c r="C41" s="201"/>
      <c r="D41" s="201"/>
      <c r="E41" s="201"/>
      <c r="F41" s="201"/>
      <c r="G41" s="201"/>
      <c r="H41" s="201"/>
      <c r="I41" s="201"/>
      <c r="J41" s="201"/>
      <c r="K41" s="203"/>
      <c r="L41" s="7"/>
    </row>
    <row r="42" spans="1:14" s="5" customFormat="1" ht="14" x14ac:dyDescent="0.2">
      <c r="A42" s="34" t="s">
        <v>99</v>
      </c>
      <c r="B42" s="129">
        <v>7339</v>
      </c>
      <c r="C42" s="129">
        <v>1744</v>
      </c>
      <c r="D42" s="26">
        <v>3744</v>
      </c>
      <c r="E42" s="26">
        <v>1995</v>
      </c>
      <c r="F42" s="26">
        <v>1876</v>
      </c>
      <c r="G42" s="26">
        <v>1468</v>
      </c>
      <c r="H42" s="26">
        <v>5650</v>
      </c>
      <c r="I42" s="26">
        <v>3430</v>
      </c>
      <c r="J42" s="26">
        <v>7995</v>
      </c>
      <c r="K42" s="26">
        <v>1084</v>
      </c>
      <c r="L42" s="7"/>
    </row>
    <row r="43" spans="1:14" s="5" customFormat="1" ht="14" x14ac:dyDescent="0.2">
      <c r="A43" s="34" t="s">
        <v>100</v>
      </c>
      <c r="B43" s="26">
        <v>6843</v>
      </c>
      <c r="C43" s="26">
        <v>1695</v>
      </c>
      <c r="D43" s="26">
        <v>3620</v>
      </c>
      <c r="E43" s="26">
        <v>1798</v>
      </c>
      <c r="F43" s="26">
        <v>1706</v>
      </c>
      <c r="G43" s="26">
        <v>1414</v>
      </c>
      <c r="H43" s="26">
        <v>5331</v>
      </c>
      <c r="I43" s="26">
        <v>3206</v>
      </c>
      <c r="J43" s="26">
        <v>7669</v>
      </c>
      <c r="K43" s="26">
        <v>866</v>
      </c>
      <c r="L43" s="7"/>
    </row>
    <row r="44" spans="1:14" s="6" customFormat="1" ht="14" x14ac:dyDescent="0.2">
      <c r="A44" s="34" t="s">
        <v>60</v>
      </c>
      <c r="B44" s="31">
        <f>B43/B42</f>
        <v>0.93241586047145386</v>
      </c>
      <c r="C44" s="31">
        <f t="shared" ref="C44" si="96">C43/C42</f>
        <v>0.9719036697247706</v>
      </c>
      <c r="D44" s="31">
        <f t="shared" ref="D44" si="97">D43/D42</f>
        <v>0.96688034188034189</v>
      </c>
      <c r="E44" s="31">
        <f t="shared" ref="E44" si="98">E43/E42</f>
        <v>0.90125313283208019</v>
      </c>
      <c r="F44" s="31">
        <f t="shared" ref="F44" si="99">F43/F42</f>
        <v>0.90938166311300639</v>
      </c>
      <c r="G44" s="31">
        <f t="shared" ref="G44" si="100">G43/G42</f>
        <v>0.96321525885558579</v>
      </c>
      <c r="H44" s="31">
        <f t="shared" ref="H44" si="101">H43/H42</f>
        <v>0.94353982300884953</v>
      </c>
      <c r="I44" s="31">
        <f t="shared" ref="I44" si="102">I43/I42</f>
        <v>0.9346938775510204</v>
      </c>
      <c r="J44" s="31">
        <f t="shared" ref="J44" si="103">J43/J42</f>
        <v>0.95922451532207631</v>
      </c>
      <c r="K44" s="31">
        <f t="shared" ref="K44" si="104">K43/K42</f>
        <v>0.79889298892988925</v>
      </c>
      <c r="L44" s="12"/>
      <c r="M44" s="5"/>
    </row>
    <row r="45" spans="1:14" s="5" customFormat="1" ht="14" x14ac:dyDescent="0.2">
      <c r="A45" s="34" t="s">
        <v>127</v>
      </c>
      <c r="B45" s="26">
        <v>5665</v>
      </c>
      <c r="C45" s="26">
        <v>1086</v>
      </c>
      <c r="D45" s="26">
        <v>2692</v>
      </c>
      <c r="E45" s="26">
        <v>1443</v>
      </c>
      <c r="F45" s="26">
        <v>1352</v>
      </c>
      <c r="G45" s="26">
        <v>1264</v>
      </c>
      <c r="H45" s="26">
        <v>4176</v>
      </c>
      <c r="I45" s="26">
        <v>2575</v>
      </c>
      <c r="J45" s="26">
        <v>6176</v>
      </c>
      <c r="K45" s="26">
        <v>573</v>
      </c>
      <c r="L45" s="7"/>
    </row>
    <row r="46" spans="1:14" s="5" customFormat="1" ht="14" x14ac:dyDescent="0.2">
      <c r="A46" s="34" t="s">
        <v>61</v>
      </c>
      <c r="B46" s="130">
        <f>B45/B43</f>
        <v>0.82785328072482833</v>
      </c>
      <c r="C46" s="130">
        <f t="shared" ref="C46" si="105">C45/C43</f>
        <v>0.64070796460176993</v>
      </c>
      <c r="D46" s="130">
        <f t="shared" ref="D46" si="106">D45/D43</f>
        <v>0.74364640883977906</v>
      </c>
      <c r="E46" s="130">
        <f t="shared" ref="E46" si="107">E45/E43</f>
        <v>0.80255839822024466</v>
      </c>
      <c r="F46" s="130">
        <f t="shared" ref="F46" si="108">F45/F43</f>
        <v>0.79249706916764362</v>
      </c>
      <c r="G46" s="130">
        <f t="shared" ref="G46" si="109">G45/G43</f>
        <v>0.89391796322489392</v>
      </c>
      <c r="H46" s="130">
        <f t="shared" ref="H46" si="110">H45/H43</f>
        <v>0.78334271243669107</v>
      </c>
      <c r="I46" s="130">
        <f t="shared" ref="I46" si="111">I45/I43</f>
        <v>0.80318153462258268</v>
      </c>
      <c r="J46" s="130">
        <f t="shared" ref="J46" si="112">J45/J43</f>
        <v>0.8053201199634894</v>
      </c>
      <c r="K46" s="130">
        <f t="shared" ref="K46" si="113">K45/K43</f>
        <v>0.6616628175519631</v>
      </c>
      <c r="L46" s="7"/>
    </row>
    <row r="47" spans="1:14" ht="15" x14ac:dyDescent="0.2">
      <c r="A47" s="59"/>
      <c r="B47" s="201" t="s">
        <v>184</v>
      </c>
      <c r="C47" s="201"/>
      <c r="D47" s="201"/>
      <c r="E47" s="201"/>
      <c r="F47" s="201"/>
      <c r="G47" s="201"/>
      <c r="H47" s="201"/>
      <c r="I47" s="201"/>
      <c r="J47" s="201"/>
      <c r="K47" s="201"/>
    </row>
    <row r="48" spans="1:14" ht="14" x14ac:dyDescent="0.2">
      <c r="A48" s="34" t="s">
        <v>99</v>
      </c>
      <c r="B48" s="129">
        <v>4197</v>
      </c>
      <c r="C48" s="129">
        <v>2210</v>
      </c>
      <c r="D48" s="26">
        <v>3005</v>
      </c>
      <c r="E48" s="26">
        <v>1609</v>
      </c>
      <c r="F48" s="26">
        <v>1373</v>
      </c>
      <c r="G48" s="26">
        <v>420</v>
      </c>
      <c r="H48" s="26">
        <v>3696</v>
      </c>
      <c r="I48" s="26">
        <v>2707</v>
      </c>
      <c r="J48" s="26">
        <v>4939</v>
      </c>
      <c r="K48" s="26">
        <v>1447</v>
      </c>
      <c r="L48" s="53"/>
    </row>
    <row r="49" spans="1:12" ht="14" x14ac:dyDescent="0.2">
      <c r="A49" s="34" t="s">
        <v>100</v>
      </c>
      <c r="B49" s="26">
        <v>3437</v>
      </c>
      <c r="C49" s="26">
        <v>2074</v>
      </c>
      <c r="D49" s="26">
        <v>2724</v>
      </c>
      <c r="E49" s="26">
        <v>1291</v>
      </c>
      <c r="F49" s="26">
        <v>1130</v>
      </c>
      <c r="G49" s="26">
        <v>366</v>
      </c>
      <c r="H49" s="129">
        <v>3195</v>
      </c>
      <c r="I49" s="129">
        <v>2315</v>
      </c>
      <c r="J49" s="129">
        <v>4350</v>
      </c>
      <c r="K49" s="129">
        <v>1142</v>
      </c>
      <c r="L49" s="7"/>
    </row>
    <row r="50" spans="1:12" ht="14" x14ac:dyDescent="0.2">
      <c r="A50" s="34" t="s">
        <v>60</v>
      </c>
      <c r="B50" s="31">
        <f>B49/B48</f>
        <v>0.8189182749583036</v>
      </c>
      <c r="C50" s="31">
        <f t="shared" ref="C50" si="114">C49/C48</f>
        <v>0.93846153846153846</v>
      </c>
      <c r="D50" s="31">
        <f t="shared" ref="D50" si="115">D49/D48</f>
        <v>0.90648918469217965</v>
      </c>
      <c r="E50" s="31">
        <f t="shared" ref="E50" si="116">E49/E48</f>
        <v>0.80236171535114975</v>
      </c>
      <c r="F50" s="31">
        <f t="shared" ref="F50" si="117">F49/F48</f>
        <v>0.82301529497450843</v>
      </c>
      <c r="G50" s="31">
        <f t="shared" ref="G50" si="118">G49/G48</f>
        <v>0.87142857142857144</v>
      </c>
      <c r="H50" s="31">
        <f t="shared" ref="H50" si="119">H49/H48</f>
        <v>0.86444805194805197</v>
      </c>
      <c r="I50" s="31">
        <f t="shared" ref="I50" si="120">I49/I48</f>
        <v>0.85519024750646477</v>
      </c>
      <c r="J50" s="31">
        <f t="shared" ref="J50" si="121">J49/J48</f>
        <v>0.88074509009921031</v>
      </c>
      <c r="K50" s="31">
        <f t="shared" ref="K50" si="122">K49/K48</f>
        <v>0.78921907394609536</v>
      </c>
      <c r="L50" s="172"/>
    </row>
    <row r="51" spans="1:12" ht="14" x14ac:dyDescent="0.2">
      <c r="A51" s="34" t="s">
        <v>127</v>
      </c>
      <c r="B51" s="26">
        <v>2551</v>
      </c>
      <c r="C51" s="26">
        <v>1333</v>
      </c>
      <c r="D51" s="26">
        <v>1792</v>
      </c>
      <c r="E51" s="26">
        <v>951</v>
      </c>
      <c r="F51" s="26">
        <v>857</v>
      </c>
      <c r="G51" s="26">
        <v>284</v>
      </c>
      <c r="H51" s="26">
        <v>2199</v>
      </c>
      <c r="I51" s="26">
        <v>1685</v>
      </c>
      <c r="J51" s="26">
        <v>3019</v>
      </c>
      <c r="K51" s="26">
        <v>853</v>
      </c>
      <c r="L51" s="7"/>
    </row>
    <row r="52" spans="1:12" ht="14" x14ac:dyDescent="0.2">
      <c r="A52" s="34" t="s">
        <v>61</v>
      </c>
      <c r="B52" s="130">
        <f>B51/B49</f>
        <v>0.74221704975269132</v>
      </c>
      <c r="C52" s="130">
        <f t="shared" ref="C52" si="123">C51/C49</f>
        <v>0.64271938283510122</v>
      </c>
      <c r="D52" s="130">
        <f t="shared" ref="D52" si="124">D51/D49</f>
        <v>0.657856093979442</v>
      </c>
      <c r="E52" s="130">
        <f t="shared" ref="E52" si="125">E51/E49</f>
        <v>0.73663826491092177</v>
      </c>
      <c r="F52" s="130">
        <f t="shared" ref="F52" si="126">F51/F49</f>
        <v>0.75840707964601772</v>
      </c>
      <c r="G52" s="130">
        <f t="shared" ref="G52" si="127">G51/G49</f>
        <v>0.77595628415300544</v>
      </c>
      <c r="H52" s="130">
        <f t="shared" ref="H52" si="128">H51/H49</f>
        <v>0.68826291079812207</v>
      </c>
      <c r="I52" s="130">
        <f t="shared" ref="I52" si="129">I51/I49</f>
        <v>0.72786177105831529</v>
      </c>
      <c r="J52" s="130">
        <f t="shared" ref="J52" si="130">J51/J49</f>
        <v>0.69402298850574717</v>
      </c>
      <c r="K52" s="130">
        <f t="shared" ref="K52" si="131">K51/K49</f>
        <v>0.74693520140105074</v>
      </c>
      <c r="L52" s="7"/>
    </row>
    <row r="53" spans="1:12" ht="15" x14ac:dyDescent="0.2">
      <c r="A53" s="59"/>
      <c r="B53" s="204" t="s">
        <v>169</v>
      </c>
      <c r="C53" s="204"/>
      <c r="D53" s="204"/>
      <c r="E53" s="204"/>
      <c r="F53" s="204"/>
      <c r="G53" s="204"/>
      <c r="H53" s="204"/>
      <c r="I53" s="204"/>
      <c r="J53" s="204"/>
      <c r="K53" s="204"/>
    </row>
    <row r="54" spans="1:12" ht="14" x14ac:dyDescent="0.2">
      <c r="A54" s="34" t="s">
        <v>99</v>
      </c>
      <c r="B54" s="129">
        <v>1833</v>
      </c>
      <c r="C54" s="129">
        <v>724</v>
      </c>
      <c r="D54" s="26">
        <v>1046</v>
      </c>
      <c r="E54" s="26">
        <v>500</v>
      </c>
      <c r="F54" s="26">
        <v>759</v>
      </c>
      <c r="G54" s="26">
        <v>252</v>
      </c>
      <c r="H54" s="26">
        <v>1642</v>
      </c>
      <c r="I54" s="26">
        <v>914</v>
      </c>
      <c r="J54" s="26">
        <v>1780</v>
      </c>
      <c r="K54" s="26">
        <v>774</v>
      </c>
    </row>
    <row r="55" spans="1:12" ht="14" x14ac:dyDescent="0.2">
      <c r="A55" s="34" t="s">
        <v>100</v>
      </c>
      <c r="B55" s="26">
        <v>1348</v>
      </c>
      <c r="C55" s="26">
        <v>619</v>
      </c>
      <c r="D55" s="26">
        <v>868</v>
      </c>
      <c r="E55" s="26">
        <v>340</v>
      </c>
      <c r="F55" s="26">
        <v>558</v>
      </c>
      <c r="G55" s="26">
        <v>201</v>
      </c>
      <c r="H55" s="26">
        <v>1264</v>
      </c>
      <c r="I55" s="26">
        <v>703</v>
      </c>
      <c r="J55" s="26">
        <v>1296</v>
      </c>
      <c r="K55" s="171">
        <v>670</v>
      </c>
    </row>
    <row r="56" spans="1:12" ht="14" x14ac:dyDescent="0.2">
      <c r="A56" s="34" t="s">
        <v>60</v>
      </c>
      <c r="B56" s="31">
        <f>B55/B54</f>
        <v>0.73540643753409707</v>
      </c>
      <c r="C56" s="31">
        <f t="shared" ref="C56" si="132">C55/C54</f>
        <v>0.85497237569060769</v>
      </c>
      <c r="D56" s="31">
        <f t="shared" ref="D56" si="133">D55/D54</f>
        <v>0.82982791586998084</v>
      </c>
      <c r="E56" s="31">
        <f t="shared" ref="E56" si="134">E55/E54</f>
        <v>0.68</v>
      </c>
      <c r="F56" s="31">
        <f t="shared" ref="F56" si="135">F55/F54</f>
        <v>0.7351778656126482</v>
      </c>
      <c r="G56" s="31">
        <f t="shared" ref="G56" si="136">G55/G54</f>
        <v>0.79761904761904767</v>
      </c>
      <c r="H56" s="31">
        <f t="shared" ref="H56" si="137">H55/H54</f>
        <v>0.76979293544457983</v>
      </c>
      <c r="I56" s="31">
        <f t="shared" ref="I56" si="138">I55/I54</f>
        <v>0.76914660831509851</v>
      </c>
      <c r="J56" s="31">
        <f t="shared" ref="J56" si="139">J55/J54</f>
        <v>0.72808988764044946</v>
      </c>
      <c r="K56" s="31">
        <f t="shared" ref="K56" si="140">K55/K54</f>
        <v>0.86563307493540054</v>
      </c>
    </row>
    <row r="57" spans="1:12" ht="14" x14ac:dyDescent="0.2">
      <c r="A57" s="34" t="s">
        <v>127</v>
      </c>
      <c r="B57" s="26">
        <v>1149</v>
      </c>
      <c r="C57" s="26">
        <v>389</v>
      </c>
      <c r="D57" s="26">
        <v>578</v>
      </c>
      <c r="E57" s="26">
        <v>296</v>
      </c>
      <c r="F57" s="26">
        <v>488</v>
      </c>
      <c r="G57" s="26">
        <v>176</v>
      </c>
      <c r="H57" s="171">
        <v>981</v>
      </c>
      <c r="I57" s="26">
        <v>557</v>
      </c>
      <c r="J57" s="26">
        <v>1073</v>
      </c>
      <c r="K57" s="187">
        <v>464</v>
      </c>
    </row>
    <row r="58" spans="1:12" ht="14" x14ac:dyDescent="0.2">
      <c r="A58" s="34" t="s">
        <v>61</v>
      </c>
      <c r="B58" s="130">
        <f>B57/B55</f>
        <v>0.85237388724035612</v>
      </c>
      <c r="C58" s="130">
        <f t="shared" ref="C58" si="141">C57/C55</f>
        <v>0.62843295638126007</v>
      </c>
      <c r="D58" s="130">
        <f t="shared" ref="D58" si="142">D57/D55</f>
        <v>0.66589861751152069</v>
      </c>
      <c r="E58" s="130">
        <f t="shared" ref="E58" si="143">E57/E55</f>
        <v>0.87058823529411766</v>
      </c>
      <c r="F58" s="130">
        <f t="shared" ref="F58" si="144">F57/F55</f>
        <v>0.87455197132616491</v>
      </c>
      <c r="G58" s="130">
        <f t="shared" ref="G58" si="145">G57/G55</f>
        <v>0.87562189054726369</v>
      </c>
      <c r="H58" s="130">
        <f t="shared" ref="H58" si="146">H57/H55</f>
        <v>0.77610759493670889</v>
      </c>
      <c r="I58" s="130">
        <f t="shared" ref="I58" si="147">I57/I55</f>
        <v>0.79231863442389761</v>
      </c>
      <c r="J58" s="130">
        <f t="shared" ref="J58" si="148">J57/J55</f>
        <v>0.82793209876543206</v>
      </c>
      <c r="K58" s="130">
        <f t="shared" ref="K58" si="149">K57/K55</f>
        <v>0.69253731343283587</v>
      </c>
    </row>
  </sheetData>
  <mergeCells count="13">
    <mergeCell ref="B29:K29"/>
    <mergeCell ref="B47:K47"/>
    <mergeCell ref="B53:K53"/>
    <mergeCell ref="H3:I3"/>
    <mergeCell ref="D3:G3"/>
    <mergeCell ref="J3:K3"/>
    <mergeCell ref="B35:K35"/>
    <mergeCell ref="B41:K41"/>
    <mergeCell ref="B3:C3"/>
    <mergeCell ref="B5:K5"/>
    <mergeCell ref="B11:K11"/>
    <mergeCell ref="B17:K17"/>
    <mergeCell ref="B23:K23"/>
  </mergeCells>
  <phoneticPr fontId="5" type="noConversion"/>
  <hyperlinks>
    <hyperlink ref="A1" location="Contents!A1" display="&lt;Back to contents&gt;"/>
  </hyperlinks>
  <pageMargins left="0.39370078740157483" right="0.39370078740157483" top="0.39370078740157483" bottom="0.11811023622047245" header="0" footer="0"/>
  <pageSetup paperSize="8"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rgb="FF92D050"/>
    <pageSetUpPr fitToPage="1"/>
  </sheetPr>
  <dimension ref="A1:H62"/>
  <sheetViews>
    <sheetView showGridLines="0" workbookViewId="0">
      <pane xSplit="1" ySplit="4" topLeftCell="B50" activePane="bottomRight" state="frozen"/>
      <selection pane="topRight" activeCell="B1" sqref="B1"/>
      <selection pane="bottomLeft" activeCell="A5" sqref="A5"/>
      <selection pane="bottomRight" activeCell="K32" sqref="K32"/>
    </sheetView>
  </sheetViews>
  <sheetFormatPr baseColWidth="10" defaultColWidth="13.6640625" defaultRowHeight="13" x14ac:dyDescent="0.15"/>
  <cols>
    <col min="1" max="1" width="13.6640625" style="1" customWidth="1"/>
    <col min="2" max="3" width="16.5" style="4" customWidth="1"/>
    <col min="4" max="4" width="16.5" customWidth="1"/>
    <col min="5" max="6" width="16.5" style="4" customWidth="1"/>
    <col min="7" max="8" width="16.5" style="2" customWidth="1"/>
  </cols>
  <sheetData>
    <row r="1" spans="1:8" s="82" customFormat="1" ht="14" x14ac:dyDescent="0.2">
      <c r="A1" s="80" t="s">
        <v>56</v>
      </c>
      <c r="B1" s="83"/>
      <c r="C1" s="81"/>
      <c r="E1" s="84"/>
      <c r="F1" s="84"/>
      <c r="G1" s="84"/>
      <c r="H1" s="84"/>
    </row>
    <row r="2" spans="1:8" ht="19" x14ac:dyDescent="0.25">
      <c r="A2" s="14" t="s">
        <v>189</v>
      </c>
      <c r="B2"/>
      <c r="C2"/>
      <c r="E2"/>
      <c r="F2"/>
      <c r="G2" s="54"/>
      <c r="H2" s="49"/>
    </row>
    <row r="3" spans="1:8" ht="15" x14ac:dyDescent="0.15">
      <c r="A3" s="15"/>
      <c r="B3" s="206" t="s">
        <v>71</v>
      </c>
      <c r="C3" s="207"/>
      <c r="D3" s="208"/>
      <c r="E3" s="206" t="s">
        <v>116</v>
      </c>
      <c r="F3" s="208"/>
      <c r="G3" s="206" t="s">
        <v>70</v>
      </c>
      <c r="H3" s="208"/>
    </row>
    <row r="4" spans="1:8" ht="15" x14ac:dyDescent="0.2">
      <c r="A4" s="85"/>
      <c r="B4" s="36" t="s">
        <v>74</v>
      </c>
      <c r="C4" s="36" t="s">
        <v>73</v>
      </c>
      <c r="D4" s="36" t="s">
        <v>72</v>
      </c>
      <c r="E4" s="36" t="s">
        <v>105</v>
      </c>
      <c r="F4" s="36" t="s">
        <v>106</v>
      </c>
      <c r="G4" s="36" t="s">
        <v>115</v>
      </c>
      <c r="H4" s="36" t="s">
        <v>114</v>
      </c>
    </row>
    <row r="5" spans="1:8" ht="16" x14ac:dyDescent="0.2">
      <c r="A5" s="47"/>
      <c r="B5" s="202" t="s">
        <v>59</v>
      </c>
      <c r="C5" s="201"/>
      <c r="D5" s="201"/>
      <c r="E5" s="201"/>
      <c r="F5" s="201"/>
      <c r="G5" s="201"/>
      <c r="H5" s="203"/>
    </row>
    <row r="6" spans="1:8" ht="14" x14ac:dyDescent="0.2">
      <c r="A6" s="34" t="s">
        <v>99</v>
      </c>
      <c r="B6" s="26">
        <v>69065</v>
      </c>
      <c r="C6" s="26">
        <v>174915</v>
      </c>
      <c r="D6" s="26">
        <v>98054</v>
      </c>
      <c r="E6" s="26">
        <v>260945</v>
      </c>
      <c r="F6" s="26">
        <v>81567.409999999989</v>
      </c>
      <c r="G6" s="26">
        <v>326438</v>
      </c>
      <c r="H6" s="26">
        <v>7252</v>
      </c>
    </row>
    <row r="7" spans="1:8" ht="14" x14ac:dyDescent="0.2">
      <c r="A7" s="34" t="s">
        <v>100</v>
      </c>
      <c r="B7" s="26">
        <v>56199</v>
      </c>
      <c r="C7" s="26">
        <v>145191</v>
      </c>
      <c r="D7" s="26">
        <v>81730</v>
      </c>
      <c r="E7" s="26">
        <v>213220</v>
      </c>
      <c r="F7" s="26">
        <v>70290.350000000006</v>
      </c>
      <c r="G7" s="26">
        <v>270261</v>
      </c>
      <c r="H7" s="26">
        <v>5782</v>
      </c>
    </row>
    <row r="8" spans="1:8" s="5" customFormat="1" ht="14" x14ac:dyDescent="0.2">
      <c r="A8" s="34" t="s">
        <v>60</v>
      </c>
      <c r="B8" s="31">
        <f>B7/B6</f>
        <v>0.81371172084268439</v>
      </c>
      <c r="C8" s="31">
        <f t="shared" ref="C8:D8" si="0">C7/C6</f>
        <v>0.83006603207272101</v>
      </c>
      <c r="D8" s="31">
        <f t="shared" si="0"/>
        <v>0.83352030513798514</v>
      </c>
      <c r="E8" s="31">
        <f>E7/E6</f>
        <v>0.81710705321044663</v>
      </c>
      <c r="F8" s="31">
        <f>F7/F6</f>
        <v>0.8617455182161603</v>
      </c>
      <c r="G8" s="31">
        <f t="shared" ref="G8:H8" si="1">G7/G6</f>
        <v>0.82790912822649321</v>
      </c>
      <c r="H8" s="31">
        <f t="shared" si="1"/>
        <v>0.79729729729729726</v>
      </c>
    </row>
    <row r="9" spans="1:8" s="5" customFormat="1" ht="14" x14ac:dyDescent="0.2">
      <c r="A9" s="34" t="s">
        <v>127</v>
      </c>
      <c r="B9" s="26">
        <v>43116</v>
      </c>
      <c r="C9" s="26">
        <v>111232</v>
      </c>
      <c r="D9" s="26">
        <v>63093</v>
      </c>
      <c r="E9" s="26">
        <v>166953</v>
      </c>
      <c r="F9" s="26">
        <v>50781.759999999995</v>
      </c>
      <c r="G9" s="26">
        <v>208725</v>
      </c>
      <c r="H9" s="26">
        <v>4454</v>
      </c>
    </row>
    <row r="10" spans="1:8" s="5" customFormat="1" ht="14" x14ac:dyDescent="0.2">
      <c r="A10" s="34" t="s">
        <v>61</v>
      </c>
      <c r="B10" s="31">
        <f>B9/B7</f>
        <v>0.76720226338546949</v>
      </c>
      <c r="C10" s="31">
        <f t="shared" ref="C10:D10" si="2">C9/C7</f>
        <v>0.76610809209937258</v>
      </c>
      <c r="D10" s="31">
        <f t="shared" si="2"/>
        <v>0.77196867735225738</v>
      </c>
      <c r="E10" s="31">
        <f>E9/E7</f>
        <v>0.78300816058531097</v>
      </c>
      <c r="F10" s="31">
        <f>F9/F7</f>
        <v>0.72245706558581646</v>
      </c>
      <c r="G10" s="31">
        <f>G9/G7</f>
        <v>0.77230899019836385</v>
      </c>
      <c r="H10" s="31">
        <f>H9/H7</f>
        <v>0.77032168799723277</v>
      </c>
    </row>
    <row r="11" spans="1:8" s="5" customFormat="1" ht="16" x14ac:dyDescent="0.2">
      <c r="A11" s="47"/>
      <c r="B11" s="202" t="s">
        <v>170</v>
      </c>
      <c r="C11" s="201"/>
      <c r="D11" s="201"/>
      <c r="E11" s="201"/>
      <c r="F11" s="201"/>
      <c r="G11" s="201"/>
      <c r="H11" s="203"/>
    </row>
    <row r="12" spans="1:8" s="5" customFormat="1" ht="14" x14ac:dyDescent="0.2">
      <c r="A12" s="34" t="s">
        <v>99</v>
      </c>
      <c r="B12" s="26">
        <v>21360</v>
      </c>
      <c r="C12" s="26">
        <v>52607</v>
      </c>
      <c r="D12" s="26">
        <v>34122</v>
      </c>
      <c r="E12" s="26">
        <v>85089.600000000006</v>
      </c>
      <c r="F12" s="26">
        <v>23091.412</v>
      </c>
      <c r="G12" s="26">
        <v>101549</v>
      </c>
      <c r="H12" s="26">
        <v>2787</v>
      </c>
    </row>
    <row r="13" spans="1:8" s="5" customFormat="1" ht="14" x14ac:dyDescent="0.2">
      <c r="A13" s="34" t="s">
        <v>100</v>
      </c>
      <c r="B13" s="26">
        <v>17873</v>
      </c>
      <c r="C13" s="26">
        <v>44883</v>
      </c>
      <c r="D13" s="26">
        <v>29074</v>
      </c>
      <c r="E13" s="26">
        <v>71743.199999999997</v>
      </c>
      <c r="F13" s="26">
        <v>20173.858999999997</v>
      </c>
      <c r="G13" s="25">
        <v>85915</v>
      </c>
      <c r="H13" s="26">
        <v>2253</v>
      </c>
    </row>
    <row r="14" spans="1:8" s="5" customFormat="1" ht="14" x14ac:dyDescent="0.2">
      <c r="A14" s="34" t="s">
        <v>60</v>
      </c>
      <c r="B14" s="31">
        <f>B13/B12</f>
        <v>0.83675093632958797</v>
      </c>
      <c r="C14" s="31">
        <f t="shared" ref="C14" si="3">C13/C12</f>
        <v>0.85317543292717701</v>
      </c>
      <c r="D14" s="31">
        <f t="shared" ref="D14" si="4">D13/D12</f>
        <v>0.85206025438133759</v>
      </c>
      <c r="E14" s="31">
        <f>E13/E12</f>
        <v>0.84314886895695818</v>
      </c>
      <c r="F14" s="31">
        <f>F13/F12</f>
        <v>0.87365203132662461</v>
      </c>
      <c r="G14" s="31">
        <f t="shared" ref="G14" si="5">G13/G12</f>
        <v>0.84604476656589434</v>
      </c>
      <c r="H14" s="31">
        <f t="shared" ref="H14" si="6">H13/H12</f>
        <v>0.80839612486544676</v>
      </c>
    </row>
    <row r="15" spans="1:8" s="5" customFormat="1" ht="14" x14ac:dyDescent="0.2">
      <c r="A15" s="34" t="s">
        <v>127</v>
      </c>
      <c r="B15" s="26">
        <v>12367</v>
      </c>
      <c r="C15" s="26">
        <v>31341</v>
      </c>
      <c r="D15" s="26">
        <v>21020</v>
      </c>
      <c r="E15" s="26">
        <v>51892.7</v>
      </c>
      <c r="F15" s="5">
        <v>12889.28</v>
      </c>
      <c r="G15" s="26">
        <v>61647</v>
      </c>
      <c r="H15" s="26">
        <v>1643</v>
      </c>
    </row>
    <row r="16" spans="1:8" s="5" customFormat="1" ht="14" x14ac:dyDescent="0.2">
      <c r="A16" s="34" t="s">
        <v>61</v>
      </c>
      <c r="B16" s="31">
        <f>B15/B13</f>
        <v>0.69193755944721091</v>
      </c>
      <c r="C16" s="31">
        <f t="shared" ref="C16" si="7">C15/C13</f>
        <v>0.69828220038767463</v>
      </c>
      <c r="D16" s="31">
        <f t="shared" ref="D16" si="8">D15/D13</f>
        <v>0.72298273371397126</v>
      </c>
      <c r="E16" s="31">
        <f>E15/E13</f>
        <v>0.72331175637551715</v>
      </c>
      <c r="F16" s="31">
        <f>F15/F13</f>
        <v>0.63890998742481564</v>
      </c>
      <c r="G16" s="31">
        <f>G15/G13</f>
        <v>0.71753477274049937</v>
      </c>
      <c r="H16" s="31">
        <f>H15/H13</f>
        <v>0.72924988903683974</v>
      </c>
    </row>
    <row r="17" spans="1:8" s="5" customFormat="1" ht="16" x14ac:dyDescent="0.2">
      <c r="A17" s="47"/>
      <c r="B17" s="202" t="s">
        <v>62</v>
      </c>
      <c r="C17" s="201"/>
      <c r="D17" s="201"/>
      <c r="E17" s="201"/>
      <c r="F17" s="201"/>
      <c r="G17" s="201"/>
      <c r="H17" s="203"/>
    </row>
    <row r="18" spans="1:8" s="5" customFormat="1" ht="14" x14ac:dyDescent="0.2">
      <c r="A18" s="34" t="s">
        <v>99</v>
      </c>
      <c r="B18" s="26">
        <v>15592</v>
      </c>
      <c r="C18" s="26">
        <v>46593</v>
      </c>
      <c r="D18" s="26">
        <v>30165</v>
      </c>
      <c r="E18" s="26">
        <v>74739.399999999994</v>
      </c>
      <c r="F18" s="26">
        <v>17732.55</v>
      </c>
      <c r="G18" s="26">
        <v>89181</v>
      </c>
      <c r="H18" s="26">
        <v>750</v>
      </c>
    </row>
    <row r="19" spans="1:8" s="5" customFormat="1" ht="14" x14ac:dyDescent="0.2">
      <c r="A19" s="34" t="s">
        <v>100</v>
      </c>
      <c r="B19" s="26">
        <v>11601</v>
      </c>
      <c r="C19" s="26">
        <v>36104</v>
      </c>
      <c r="D19" s="26">
        <v>23824</v>
      </c>
      <c r="E19" s="26">
        <v>57280.5</v>
      </c>
      <c r="F19" s="26">
        <v>14337.570299999999</v>
      </c>
      <c r="G19" s="26">
        <v>69988</v>
      </c>
      <c r="H19" s="26">
        <v>558</v>
      </c>
    </row>
    <row r="20" spans="1:8" s="5" customFormat="1" ht="14" x14ac:dyDescent="0.2">
      <c r="A20" s="34" t="s">
        <v>60</v>
      </c>
      <c r="B20" s="31">
        <f>B19/B18</f>
        <v>0.74403540277065161</v>
      </c>
      <c r="C20" s="31">
        <f t="shared" ref="C20" si="9">C19/C18</f>
        <v>0.77488034683321527</v>
      </c>
      <c r="D20" s="31">
        <f t="shared" ref="D20" si="10">D19/D18</f>
        <v>0.78978949113210672</v>
      </c>
      <c r="E20" s="31">
        <f>E19/E18</f>
        <v>0.76640299493975073</v>
      </c>
      <c r="F20" s="31">
        <f>F19/F18</f>
        <v>0.80854531920113015</v>
      </c>
      <c r="G20" s="31">
        <f t="shared" ref="G20" si="11">G19/G18</f>
        <v>0.7847859970173019</v>
      </c>
      <c r="H20" s="31">
        <f t="shared" ref="H20" si="12">H19/H18</f>
        <v>0.74399999999999999</v>
      </c>
    </row>
    <row r="21" spans="1:8" s="5" customFormat="1" ht="14" x14ac:dyDescent="0.2">
      <c r="A21" s="34" t="s">
        <v>127</v>
      </c>
      <c r="B21" s="26">
        <v>8920</v>
      </c>
      <c r="C21" s="26">
        <v>28028</v>
      </c>
      <c r="D21" s="26">
        <v>18852</v>
      </c>
      <c r="E21" s="26">
        <v>45770.9</v>
      </c>
      <c r="F21" s="26">
        <v>10093.178899999999</v>
      </c>
      <c r="G21" s="26">
        <v>54878</v>
      </c>
      <c r="H21" s="26">
        <v>410</v>
      </c>
    </row>
    <row r="22" spans="1:8" s="5" customFormat="1" ht="14" x14ac:dyDescent="0.2">
      <c r="A22" s="34" t="s">
        <v>61</v>
      </c>
      <c r="B22" s="31">
        <f>B21/B19</f>
        <v>0.76889923282475647</v>
      </c>
      <c r="C22" s="31">
        <f t="shared" ref="C22" si="13">C21/C19</f>
        <v>0.77631287391978732</v>
      </c>
      <c r="D22" s="31">
        <f t="shared" ref="D22" si="14">D21/D19</f>
        <v>0.79130288784419078</v>
      </c>
      <c r="E22" s="31">
        <f>E21/E19</f>
        <v>0.79906599977304671</v>
      </c>
      <c r="F22" s="31">
        <f>F21/F19</f>
        <v>0.70396717775814488</v>
      </c>
      <c r="G22" s="31">
        <f>G21/G19</f>
        <v>0.78410584671658001</v>
      </c>
      <c r="H22" s="31">
        <f>H21/H19</f>
        <v>0.73476702508960579</v>
      </c>
    </row>
    <row r="23" spans="1:8" s="5" customFormat="1" ht="16" x14ac:dyDescent="0.2">
      <c r="A23" s="47"/>
      <c r="B23" s="202" t="s">
        <v>63</v>
      </c>
      <c r="C23" s="201"/>
      <c r="D23" s="201"/>
      <c r="E23" s="201"/>
      <c r="F23" s="201"/>
      <c r="G23" s="201"/>
      <c r="H23" s="203"/>
    </row>
    <row r="24" spans="1:8" s="5" customFormat="1" ht="14" x14ac:dyDescent="0.2">
      <c r="A24" s="34" t="s">
        <v>99</v>
      </c>
      <c r="B24" s="26">
        <v>15413</v>
      </c>
      <c r="C24" s="26">
        <v>38094</v>
      </c>
      <c r="D24" s="26">
        <v>12779</v>
      </c>
      <c r="E24" s="26">
        <v>46726.3</v>
      </c>
      <c r="F24" s="26">
        <v>19594.635999999999</v>
      </c>
      <c r="G24" s="26">
        <v>62564</v>
      </c>
      <c r="H24" s="26">
        <v>2021</v>
      </c>
    </row>
    <row r="25" spans="1:8" s="5" customFormat="1" ht="14" x14ac:dyDescent="0.2">
      <c r="A25" s="34" t="s">
        <v>100</v>
      </c>
      <c r="B25" s="26">
        <v>13304</v>
      </c>
      <c r="C25" s="26">
        <v>33206</v>
      </c>
      <c r="D25" s="26">
        <v>11073</v>
      </c>
      <c r="E25" s="26">
        <v>40222.699999999997</v>
      </c>
      <c r="F25" s="26">
        <v>17389.282999999999</v>
      </c>
      <c r="G25" s="26">
        <v>54469</v>
      </c>
      <c r="H25" s="26">
        <v>1694</v>
      </c>
    </row>
    <row r="26" spans="1:8" s="5" customFormat="1" ht="14" x14ac:dyDescent="0.2">
      <c r="A26" s="34" t="s">
        <v>60</v>
      </c>
      <c r="B26" s="31">
        <f>B25/B24</f>
        <v>0.86316745604359957</v>
      </c>
      <c r="C26" s="31">
        <f t="shared" ref="C26" si="15">C25/C24</f>
        <v>0.87168582978946818</v>
      </c>
      <c r="D26" s="31">
        <f t="shared" ref="D26" si="16">D25/D24</f>
        <v>0.8664997261131544</v>
      </c>
      <c r="E26" s="31">
        <f>E25/E24</f>
        <v>0.86081500140178002</v>
      </c>
      <c r="F26" s="31">
        <f>F25/F24</f>
        <v>0.88745118817210999</v>
      </c>
      <c r="G26" s="31">
        <f t="shared" ref="G26" si="17">G25/G24</f>
        <v>0.8706124928073653</v>
      </c>
      <c r="H26" s="31">
        <f t="shared" ref="H26" si="18">H25/H24</f>
        <v>0.83819891142998515</v>
      </c>
    </row>
    <row r="27" spans="1:8" s="5" customFormat="1" ht="14" x14ac:dyDescent="0.2">
      <c r="A27" s="34" t="s">
        <v>127</v>
      </c>
      <c r="B27" s="26">
        <v>10768</v>
      </c>
      <c r="C27" s="26">
        <v>26649</v>
      </c>
      <c r="D27" s="26">
        <v>9228</v>
      </c>
      <c r="E27" s="26">
        <v>32933</v>
      </c>
      <c r="F27" s="26">
        <v>13732.069</v>
      </c>
      <c r="G27" s="26">
        <v>44250</v>
      </c>
      <c r="H27" s="26">
        <v>1355</v>
      </c>
    </row>
    <row r="28" spans="1:8" s="5" customFormat="1" ht="14" x14ac:dyDescent="0.2">
      <c r="A28" s="34" t="s">
        <v>61</v>
      </c>
      <c r="B28" s="31">
        <f>B27/B25</f>
        <v>0.80938063740228505</v>
      </c>
      <c r="C28" s="31">
        <f t="shared" ref="C28" si="19">C27/C25</f>
        <v>0.8025356863217491</v>
      </c>
      <c r="D28" s="31">
        <f t="shared" ref="D28:F28" si="20">D27/D25</f>
        <v>0.83337848821457594</v>
      </c>
      <c r="E28" s="31">
        <f t="shared" si="20"/>
        <v>0.81876651741429596</v>
      </c>
      <c r="F28" s="31">
        <f t="shared" si="20"/>
        <v>0.78968575070058955</v>
      </c>
      <c r="G28" s="31">
        <f>G27/G25</f>
        <v>0.81238869815858561</v>
      </c>
      <c r="H28" s="31">
        <f>H27/H25</f>
        <v>0.79988193624557258</v>
      </c>
    </row>
    <row r="29" spans="1:8" s="5" customFormat="1" ht="16" x14ac:dyDescent="0.2">
      <c r="A29" s="47"/>
      <c r="B29" s="202" t="s">
        <v>64</v>
      </c>
      <c r="C29" s="201"/>
      <c r="D29" s="201"/>
      <c r="E29" s="201"/>
      <c r="F29" s="201"/>
      <c r="G29" s="201"/>
      <c r="H29" s="203"/>
    </row>
    <row r="30" spans="1:8" s="5" customFormat="1" ht="14" x14ac:dyDescent="0.2">
      <c r="A30" s="34" t="s">
        <v>99</v>
      </c>
      <c r="B30" s="26">
        <v>5424</v>
      </c>
      <c r="C30" s="26">
        <v>16936</v>
      </c>
      <c r="D30" s="26">
        <v>8914</v>
      </c>
      <c r="E30" s="26">
        <v>26495.1</v>
      </c>
      <c r="F30" s="26">
        <v>4922.8869999999997</v>
      </c>
      <c r="G30" s="26">
        <v>29103</v>
      </c>
      <c r="H30" s="26">
        <v>592</v>
      </c>
    </row>
    <row r="31" spans="1:8" s="5" customFormat="1" ht="14" x14ac:dyDescent="0.2">
      <c r="A31" s="34" t="s">
        <v>100</v>
      </c>
      <c r="B31" s="26">
        <v>4212</v>
      </c>
      <c r="C31" s="26">
        <v>13630</v>
      </c>
      <c r="D31" s="26">
        <v>7330</v>
      </c>
      <c r="E31" s="26">
        <v>21176.3</v>
      </c>
      <c r="F31" s="26">
        <v>4107.7160000000003</v>
      </c>
      <c r="G31" s="26">
        <v>23431</v>
      </c>
      <c r="H31" s="26">
        <v>456</v>
      </c>
    </row>
    <row r="32" spans="1:8" s="5" customFormat="1" ht="14" x14ac:dyDescent="0.2">
      <c r="A32" s="34" t="s">
        <v>60</v>
      </c>
      <c r="B32" s="31">
        <f>B31/B30</f>
        <v>0.77654867256637172</v>
      </c>
      <c r="C32" s="31">
        <f t="shared" ref="C32" si="21">C31/C30</f>
        <v>0.8047945205479452</v>
      </c>
      <c r="D32" s="31">
        <f t="shared" ref="D32" si="22">D31/D30</f>
        <v>0.82230199685887373</v>
      </c>
      <c r="E32" s="31">
        <f>E31/E30</f>
        <v>0.79925344686375976</v>
      </c>
      <c r="F32" s="31">
        <f>F31/F30</f>
        <v>0.83441200255053605</v>
      </c>
      <c r="G32" s="31">
        <f t="shared" ref="G32" si="23">G31/G30</f>
        <v>0.80510600281757894</v>
      </c>
      <c r="H32" s="31">
        <f t="shared" ref="H32" si="24">H31/H30</f>
        <v>0.77027027027027029</v>
      </c>
    </row>
    <row r="33" spans="1:8" s="5" customFormat="1" ht="14" x14ac:dyDescent="0.2">
      <c r="A33" s="34" t="s">
        <v>127</v>
      </c>
      <c r="B33" s="26">
        <v>3495</v>
      </c>
      <c r="C33" s="26">
        <v>11140</v>
      </c>
      <c r="D33" s="26">
        <v>5990</v>
      </c>
      <c r="E33" s="26">
        <v>17836.7</v>
      </c>
      <c r="F33" s="26">
        <v>2884.3329999999996</v>
      </c>
      <c r="G33" s="26">
        <v>19249</v>
      </c>
      <c r="H33" s="26">
        <v>389</v>
      </c>
    </row>
    <row r="34" spans="1:8" s="5" customFormat="1" ht="14" x14ac:dyDescent="0.2">
      <c r="A34" s="34" t="s">
        <v>61</v>
      </c>
      <c r="B34" s="31">
        <f>B33/B31</f>
        <v>0.82977207977207978</v>
      </c>
      <c r="C34" s="31">
        <f t="shared" ref="C34" si="25">C33/C31</f>
        <v>0.81731474688187822</v>
      </c>
      <c r="D34" s="31">
        <f t="shared" ref="D34" si="26">D33/D31</f>
        <v>0.81718963165075031</v>
      </c>
      <c r="E34" s="31">
        <f>E33/E31</f>
        <v>0.84229539626847005</v>
      </c>
      <c r="F34" s="31">
        <f>F33/F31</f>
        <v>0.70217439569824192</v>
      </c>
      <c r="G34" s="31">
        <f>G33/G31</f>
        <v>0.82151850113098035</v>
      </c>
      <c r="H34" s="31">
        <f>H33/H31</f>
        <v>0.85307017543859653</v>
      </c>
    </row>
    <row r="35" spans="1:8" s="5" customFormat="1" ht="16" x14ac:dyDescent="0.2">
      <c r="A35" s="47"/>
      <c r="B35" s="202" t="s">
        <v>166</v>
      </c>
      <c r="C35" s="201"/>
      <c r="D35" s="201"/>
      <c r="E35" s="201"/>
      <c r="F35" s="201"/>
      <c r="G35" s="201"/>
      <c r="H35" s="203"/>
    </row>
    <row r="36" spans="1:8" s="5" customFormat="1" ht="14" x14ac:dyDescent="0.2">
      <c r="A36" s="34" t="s">
        <v>99</v>
      </c>
      <c r="B36" s="26">
        <v>7692</v>
      </c>
      <c r="C36" s="26">
        <v>13163</v>
      </c>
      <c r="D36" s="26">
        <v>5138</v>
      </c>
      <c r="E36" s="26">
        <v>21391.599999999999</v>
      </c>
      <c r="F36" s="26">
        <v>4627.3770000000004</v>
      </c>
      <c r="G36" s="26">
        <v>25460</v>
      </c>
      <c r="H36" s="26">
        <v>420</v>
      </c>
    </row>
    <row r="37" spans="1:8" s="5" customFormat="1" ht="14" x14ac:dyDescent="0.2">
      <c r="A37" s="34" t="s">
        <v>100</v>
      </c>
      <c r="B37" s="26">
        <v>5898</v>
      </c>
      <c r="C37" s="26">
        <v>10724</v>
      </c>
      <c r="D37" s="26">
        <v>4362</v>
      </c>
      <c r="E37" s="26">
        <v>17200.400000000001</v>
      </c>
      <c r="F37" s="26">
        <v>3805.5940000000001</v>
      </c>
      <c r="G37" s="26">
        <v>20612</v>
      </c>
      <c r="H37" s="124">
        <v>285</v>
      </c>
    </row>
    <row r="38" spans="1:8" s="5" customFormat="1" ht="14" x14ac:dyDescent="0.2">
      <c r="A38" s="34" t="s">
        <v>60</v>
      </c>
      <c r="B38" s="31">
        <f>B37/B36</f>
        <v>0.76677067082683303</v>
      </c>
      <c r="C38" s="31">
        <f t="shared" ref="C38" si="27">C37/C36</f>
        <v>0.81470789333738514</v>
      </c>
      <c r="D38" s="31">
        <f t="shared" ref="D38" si="28">D37/D36</f>
        <v>0.84896847022187627</v>
      </c>
      <c r="E38" s="31">
        <f>E37/E36</f>
        <v>0.80407262663849377</v>
      </c>
      <c r="F38" s="31">
        <f>F37/F36</f>
        <v>0.82240846164036341</v>
      </c>
      <c r="G38" s="31">
        <f t="shared" ref="G38" si="29">G37/G36</f>
        <v>0.80958366064414766</v>
      </c>
      <c r="H38" s="31">
        <f t="shared" ref="H38" si="30">H37/H36</f>
        <v>0.6785714285714286</v>
      </c>
    </row>
    <row r="39" spans="1:8" s="5" customFormat="1" ht="14" x14ac:dyDescent="0.2">
      <c r="A39" s="34" t="s">
        <v>127</v>
      </c>
      <c r="B39" s="26">
        <v>4885</v>
      </c>
      <c r="C39" s="26">
        <v>8995</v>
      </c>
      <c r="D39" s="26">
        <v>3592</v>
      </c>
      <c r="E39" s="26">
        <v>14573.3</v>
      </c>
      <c r="F39" s="26">
        <v>2916.7120000000004</v>
      </c>
      <c r="G39" s="26">
        <v>17167</v>
      </c>
      <c r="H39" s="26">
        <v>235</v>
      </c>
    </row>
    <row r="40" spans="1:8" s="5" customFormat="1" ht="14" x14ac:dyDescent="0.2">
      <c r="A40" s="34" t="s">
        <v>61</v>
      </c>
      <c r="B40" s="31">
        <f>B39/B37</f>
        <v>0.82824686334350628</v>
      </c>
      <c r="C40" s="31">
        <f t="shared" ref="C40" si="31">C39/C37</f>
        <v>0.83877284595300261</v>
      </c>
      <c r="D40" s="31">
        <f t="shared" ref="D40" si="32">D39/D37</f>
        <v>0.82347546996790466</v>
      </c>
      <c r="E40" s="31">
        <f t="shared" ref="E40" si="33">E39/E37</f>
        <v>0.84726517987953753</v>
      </c>
      <c r="F40" s="31">
        <f t="shared" ref="F40" si="34">F39/F37</f>
        <v>0.76642752747665688</v>
      </c>
      <c r="G40" s="31">
        <f>G39/G37</f>
        <v>0.83286435086357458</v>
      </c>
      <c r="H40" s="31">
        <f>H39/H37</f>
        <v>0.82456140350877194</v>
      </c>
    </row>
    <row r="41" spans="1:8" s="5" customFormat="1" ht="16" x14ac:dyDescent="0.2">
      <c r="A41" s="47"/>
      <c r="B41" s="202" t="s">
        <v>65</v>
      </c>
      <c r="C41" s="201"/>
      <c r="D41" s="201"/>
      <c r="E41" s="201"/>
      <c r="F41" s="201"/>
      <c r="G41" s="201"/>
      <c r="H41" s="203"/>
    </row>
    <row r="42" spans="1:8" s="5" customFormat="1" ht="14" x14ac:dyDescent="0.2">
      <c r="A42" s="34" t="s">
        <v>99</v>
      </c>
      <c r="B42" s="131">
        <v>3434</v>
      </c>
      <c r="C42" s="131">
        <v>4113</v>
      </c>
      <c r="D42" s="131">
        <v>1479</v>
      </c>
      <c r="E42" s="26">
        <v>18.760999999999999</v>
      </c>
      <c r="F42" s="26">
        <v>9030.2382999999991</v>
      </c>
      <c r="G42" s="26">
        <v>7208</v>
      </c>
      <c r="H42" s="124">
        <v>286</v>
      </c>
    </row>
    <row r="43" spans="1:8" s="5" customFormat="1" ht="14" x14ac:dyDescent="0.2">
      <c r="A43" s="34" t="s">
        <v>100</v>
      </c>
      <c r="B43" s="131">
        <v>3194</v>
      </c>
      <c r="C43" s="131">
        <v>3903</v>
      </c>
      <c r="D43" s="131">
        <v>1387</v>
      </c>
      <c r="E43" s="26">
        <v>12.760999999999999</v>
      </c>
      <c r="F43" s="26">
        <v>8494.240600000001</v>
      </c>
      <c r="G43" s="26">
        <v>6739</v>
      </c>
      <c r="H43" s="124">
        <v>259</v>
      </c>
    </row>
    <row r="44" spans="1:8" s="5" customFormat="1" ht="14" x14ac:dyDescent="0.2">
      <c r="A44" s="34" t="s">
        <v>60</v>
      </c>
      <c r="B44" s="31">
        <f>B43/B42</f>
        <v>0.930110658124636</v>
      </c>
      <c r="C44" s="31">
        <f t="shared" ref="C44" si="35">C43/C42</f>
        <v>0.94894237782640412</v>
      </c>
      <c r="D44" s="31">
        <f t="shared" ref="D44" si="36">D43/D42</f>
        <v>0.9377958079783637</v>
      </c>
      <c r="E44" s="31">
        <f>E43/E42</f>
        <v>0.68018762326102022</v>
      </c>
      <c r="F44" s="31">
        <f>F43/F42</f>
        <v>0.94064412452991431</v>
      </c>
      <c r="G44" s="31">
        <f t="shared" ref="G44" si="37">G43/G42</f>
        <v>0.93493340732519425</v>
      </c>
      <c r="H44" s="31">
        <f t="shared" ref="H44" si="38">H43/H42</f>
        <v>0.90559440559440563</v>
      </c>
    </row>
    <row r="45" spans="1:8" s="5" customFormat="1" ht="14" x14ac:dyDescent="0.2">
      <c r="A45" s="34" t="s">
        <v>127</v>
      </c>
      <c r="B45" s="124">
        <v>2588</v>
      </c>
      <c r="C45" s="124">
        <v>3020</v>
      </c>
      <c r="D45" s="124">
        <v>1101</v>
      </c>
      <c r="E45" s="124">
        <v>9.9754799999999992</v>
      </c>
      <c r="F45" s="26">
        <v>6716.0244000000002</v>
      </c>
      <c r="G45" s="26">
        <v>5231</v>
      </c>
      <c r="H45" s="124">
        <v>203</v>
      </c>
    </row>
    <row r="46" spans="1:8" s="5" customFormat="1" ht="14" x14ac:dyDescent="0.2">
      <c r="A46" s="34" t="s">
        <v>61</v>
      </c>
      <c r="B46" s="31">
        <f>B45/B43</f>
        <v>0.81026925485284906</v>
      </c>
      <c r="C46" s="31">
        <f t="shared" ref="C46" si="39">C45/C43</f>
        <v>0.77376377145785291</v>
      </c>
      <c r="D46" s="31">
        <f t="shared" ref="D46" si="40">D45/D43</f>
        <v>0.7937995674116799</v>
      </c>
      <c r="E46" s="31">
        <f>E45/E43</f>
        <v>0.78171616644463604</v>
      </c>
      <c r="F46" s="31">
        <f>F45/F43</f>
        <v>0.79065624771683529</v>
      </c>
      <c r="G46" s="31">
        <f>G45/G43</f>
        <v>0.77622792699213539</v>
      </c>
      <c r="H46" s="31">
        <f>H45/H43</f>
        <v>0.78378378378378377</v>
      </c>
    </row>
    <row r="47" spans="1:8" s="5" customFormat="1" ht="16" x14ac:dyDescent="0.2">
      <c r="A47" s="47"/>
      <c r="B47" s="202" t="s">
        <v>168</v>
      </c>
      <c r="C47" s="201"/>
      <c r="D47" s="201"/>
      <c r="E47" s="201"/>
      <c r="F47" s="201"/>
      <c r="G47" s="201"/>
      <c r="H47" s="203"/>
    </row>
    <row r="48" spans="1:8" s="5" customFormat="1" ht="14" x14ac:dyDescent="0.2">
      <c r="A48" s="34" t="s">
        <v>99</v>
      </c>
      <c r="B48" s="131">
        <v>28</v>
      </c>
      <c r="C48" s="131">
        <v>1322</v>
      </c>
      <c r="D48" s="131">
        <v>5005</v>
      </c>
      <c r="E48" s="26">
        <v>6267.61</v>
      </c>
      <c r="F48" s="26">
        <v>88.38946</v>
      </c>
      <c r="G48" s="26">
        <v>6189</v>
      </c>
      <c r="H48" s="124">
        <v>128</v>
      </c>
    </row>
    <row r="49" spans="1:8" s="5" customFormat="1" ht="14" x14ac:dyDescent="0.2">
      <c r="A49" s="34" t="s">
        <v>100</v>
      </c>
      <c r="B49" s="131">
        <v>22</v>
      </c>
      <c r="C49" s="131">
        <v>1141</v>
      </c>
      <c r="D49" s="131">
        <v>4316</v>
      </c>
      <c r="E49" s="26">
        <v>5411.73</v>
      </c>
      <c r="F49" s="26">
        <v>68.272809999999993</v>
      </c>
      <c r="G49" s="26">
        <v>5333</v>
      </c>
      <c r="H49" s="124">
        <v>106</v>
      </c>
    </row>
    <row r="50" spans="1:8" s="5" customFormat="1" ht="14" x14ac:dyDescent="0.2">
      <c r="A50" s="34" t="s">
        <v>60</v>
      </c>
      <c r="B50" s="31">
        <f>B49/B48</f>
        <v>0.7857142857142857</v>
      </c>
      <c r="C50" s="31">
        <f t="shared" ref="C50" si="41">C49/C48</f>
        <v>0.86308623298033282</v>
      </c>
      <c r="D50" s="31">
        <f t="shared" ref="D50" si="42">D49/D48</f>
        <v>0.86233766233766229</v>
      </c>
      <c r="E50" s="173">
        <f>E49/E48</f>
        <v>0.86344396029746584</v>
      </c>
      <c r="F50" s="31">
        <f>F49/F48</f>
        <v>0.77240895011690303</v>
      </c>
      <c r="G50" s="31">
        <f t="shared" ref="G50" si="43">G49/G48</f>
        <v>0.86169009533042495</v>
      </c>
      <c r="H50" s="31">
        <f t="shared" ref="H50" si="44">H49/H48</f>
        <v>0.828125</v>
      </c>
    </row>
    <row r="51" spans="1:8" s="5" customFormat="1" ht="14" x14ac:dyDescent="0.2">
      <c r="A51" s="34" t="s">
        <v>127</v>
      </c>
      <c r="B51" s="131">
        <v>16</v>
      </c>
      <c r="C51" s="131">
        <v>815</v>
      </c>
      <c r="D51" s="131">
        <v>3031</v>
      </c>
      <c r="E51" s="26">
        <v>3811.22</v>
      </c>
      <c r="F51" s="26">
        <v>51.778399999999998</v>
      </c>
      <c r="G51" s="26">
        <v>3750</v>
      </c>
      <c r="H51" s="124">
        <v>74</v>
      </c>
    </row>
    <row r="52" spans="1:8" s="5" customFormat="1" ht="14" x14ac:dyDescent="0.2">
      <c r="A52" s="34" t="s">
        <v>61</v>
      </c>
      <c r="B52" s="31">
        <f>B51/B49</f>
        <v>0.72727272727272729</v>
      </c>
      <c r="C52" s="31">
        <f t="shared" ref="C52" si="45">C51/C49</f>
        <v>0.7142857142857143</v>
      </c>
      <c r="D52" s="31">
        <f t="shared" ref="D52" si="46">D51/D49</f>
        <v>0.70227062094531978</v>
      </c>
      <c r="E52" s="31">
        <f>E51/E49</f>
        <v>0.7042516903097531</v>
      </c>
      <c r="F52" s="31">
        <f>F51/F49</f>
        <v>0.75840440725963976</v>
      </c>
      <c r="G52" s="31">
        <f>G51/G49</f>
        <v>0.70316894805925367</v>
      </c>
      <c r="H52" s="31">
        <f>H51/H49</f>
        <v>0.69811320754716977</v>
      </c>
    </row>
    <row r="53" spans="1:8" s="5" customFormat="1" ht="16" x14ac:dyDescent="0.2">
      <c r="A53" s="47"/>
      <c r="B53" s="202" t="s">
        <v>169</v>
      </c>
      <c r="C53" s="201"/>
      <c r="D53" s="201"/>
      <c r="E53" s="201"/>
      <c r="F53" s="201"/>
      <c r="G53" s="201"/>
      <c r="H53" s="203"/>
    </row>
    <row r="54" spans="1:8" s="5" customFormat="1" ht="14" x14ac:dyDescent="0.2">
      <c r="A54" s="34" t="s">
        <v>99</v>
      </c>
      <c r="B54" s="131">
        <v>105</v>
      </c>
      <c r="C54" s="131">
        <v>1980</v>
      </c>
      <c r="D54" s="131">
        <v>354</v>
      </c>
      <c r="E54" s="26">
        <v>20</v>
      </c>
      <c r="F54" s="26">
        <v>2453.002</v>
      </c>
      <c r="G54" s="26">
        <v>2254</v>
      </c>
      <c r="H54" s="26">
        <v>257</v>
      </c>
    </row>
    <row r="55" spans="1:8" s="5" customFormat="1" ht="14" x14ac:dyDescent="0.2">
      <c r="A55" s="34" t="s">
        <v>100</v>
      </c>
      <c r="B55" s="131">
        <v>80</v>
      </c>
      <c r="C55" s="131">
        <v>1512</v>
      </c>
      <c r="D55" s="131">
        <v>289</v>
      </c>
      <c r="E55" s="26">
        <v>16</v>
      </c>
      <c r="F55" s="26">
        <v>1891.0010000000002</v>
      </c>
      <c r="G55" s="26">
        <v>1768</v>
      </c>
      <c r="H55" s="124">
        <v>164</v>
      </c>
    </row>
    <row r="56" spans="1:8" s="5" customFormat="1" ht="14" x14ac:dyDescent="0.2">
      <c r="A56" s="34" t="s">
        <v>60</v>
      </c>
      <c r="B56" s="31">
        <f>B55/B54</f>
        <v>0.76190476190476186</v>
      </c>
      <c r="C56" s="31">
        <f t="shared" ref="C56" si="47">C55/C54</f>
        <v>0.76363636363636367</v>
      </c>
      <c r="D56" s="31">
        <f t="shared" ref="D56" si="48">D55/D54</f>
        <v>0.81638418079096042</v>
      </c>
      <c r="E56" s="31">
        <f>E55/E54</f>
        <v>0.8</v>
      </c>
      <c r="F56" s="31">
        <f>F55/F54</f>
        <v>0.7708925634793613</v>
      </c>
      <c r="G56" s="31">
        <f t="shared" ref="G56" si="49">G55/G54</f>
        <v>0.78438331854480925</v>
      </c>
      <c r="H56" s="31">
        <f t="shared" ref="H56" si="50">H55/H54</f>
        <v>0.63813229571984431</v>
      </c>
    </row>
    <row r="57" spans="1:8" s="5" customFormat="1" ht="14" x14ac:dyDescent="0.2">
      <c r="A57" s="34" t="s">
        <v>127</v>
      </c>
      <c r="B57" s="26">
        <v>68</v>
      </c>
      <c r="C57" s="26">
        <v>1187</v>
      </c>
      <c r="D57" s="26">
        <v>218</v>
      </c>
      <c r="E57" s="26">
        <v>13</v>
      </c>
      <c r="F57" s="26">
        <v>1483</v>
      </c>
      <c r="G57" s="26">
        <v>1374</v>
      </c>
      <c r="H57" s="124">
        <v>139</v>
      </c>
    </row>
    <row r="58" spans="1:8" s="5" customFormat="1" ht="14" x14ac:dyDescent="0.2">
      <c r="A58" s="34" t="s">
        <v>61</v>
      </c>
      <c r="B58" s="31">
        <f>B57/B55</f>
        <v>0.85</v>
      </c>
      <c r="C58" s="31">
        <f t="shared" ref="C58" si="51">C57/C55</f>
        <v>0.78505291005291</v>
      </c>
      <c r="D58" s="31">
        <f t="shared" ref="D58" si="52">D57/D55</f>
        <v>0.75432525951557095</v>
      </c>
      <c r="E58" s="31">
        <f>E57/E55</f>
        <v>0.8125</v>
      </c>
      <c r="F58" s="31">
        <f>F57/F55</f>
        <v>0.78424072753002239</v>
      </c>
      <c r="G58" s="31">
        <f>G57/G55</f>
        <v>0.77714932126696834</v>
      </c>
      <c r="H58" s="31">
        <f>H57/H55</f>
        <v>0.84756097560975607</v>
      </c>
    </row>
    <row r="59" spans="1:8" x14ac:dyDescent="0.15">
      <c r="A59" s="55"/>
      <c r="B59" s="199" t="s">
        <v>124</v>
      </c>
      <c r="C59" s="108"/>
      <c r="D59" s="42"/>
      <c r="E59" s="108"/>
      <c r="F59" s="108"/>
      <c r="G59" s="60"/>
      <c r="H59" s="60"/>
    </row>
    <row r="60" spans="1:8" x14ac:dyDescent="0.15">
      <c r="B60" s="199" t="s">
        <v>128</v>
      </c>
      <c r="C60" s="199"/>
      <c r="D60" s="199"/>
      <c r="E60" s="199"/>
      <c r="F60" s="199"/>
      <c r="G60" s="60"/>
      <c r="H60" s="60"/>
    </row>
    <row r="61" spans="1:8" x14ac:dyDescent="0.15">
      <c r="B61" s="199" t="s">
        <v>123</v>
      </c>
      <c r="C61" s="199"/>
      <c r="D61" s="199"/>
      <c r="E61" s="199"/>
      <c r="F61" s="199"/>
    </row>
    <row r="62" spans="1:8" x14ac:dyDescent="0.15">
      <c r="B62" s="199" t="s">
        <v>207</v>
      </c>
      <c r="C62" s="199"/>
      <c r="D62" s="199"/>
      <c r="E62" s="199"/>
      <c r="F62" s="199"/>
    </row>
  </sheetData>
  <mergeCells count="12">
    <mergeCell ref="B53:H53"/>
    <mergeCell ref="B3:D3"/>
    <mergeCell ref="E3:F3"/>
    <mergeCell ref="G3:H3"/>
    <mergeCell ref="B41:H41"/>
    <mergeCell ref="B5:H5"/>
    <mergeCell ref="B11:H11"/>
    <mergeCell ref="B17:H17"/>
    <mergeCell ref="B23:H23"/>
    <mergeCell ref="B29:H29"/>
    <mergeCell ref="B35:H35"/>
    <mergeCell ref="B47:H47"/>
  </mergeCells>
  <phoneticPr fontId="5" type="noConversion"/>
  <hyperlinks>
    <hyperlink ref="A1" location="Contents!A1" display="&lt;Back to contents&gt;"/>
  </hyperlinks>
  <pageMargins left="0.39370078740157483" right="0.39370078740157483" top="0.39370078740157483" bottom="0.11811023622047245" header="0" footer="0"/>
  <pageSetup paperSize="9" scale="97"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92D050"/>
    <pageSetUpPr fitToPage="1"/>
  </sheetPr>
  <dimension ref="A1:Y92"/>
  <sheetViews>
    <sheetView showGridLines="0" topLeftCell="A4" workbookViewId="0">
      <pane xSplit="1" topLeftCell="L1" activePane="topRight" state="frozen"/>
      <selection pane="topRight" activeCell="A2" sqref="A2"/>
    </sheetView>
  </sheetViews>
  <sheetFormatPr baseColWidth="10" defaultColWidth="38.5" defaultRowHeight="13.75" customHeight="1" x14ac:dyDescent="0.15"/>
  <cols>
    <col min="1" max="1" width="38.33203125" style="1" customWidth="1"/>
    <col min="2" max="2" width="16.5" style="2" customWidth="1"/>
    <col min="3" max="6" width="16.5" style="4" customWidth="1"/>
    <col min="7" max="8" width="16.5" style="2" customWidth="1"/>
    <col min="9" max="18" width="16.5" customWidth="1"/>
    <col min="19" max="19" width="15" customWidth="1"/>
    <col min="20" max="21" width="12.33203125" customWidth="1"/>
    <col min="22" max="22" width="14.1640625" customWidth="1"/>
    <col min="23" max="23" width="15.5" customWidth="1"/>
    <col min="24" max="24" width="18.6640625" customWidth="1"/>
    <col min="25" max="25" width="18" customWidth="1"/>
  </cols>
  <sheetData>
    <row r="1" spans="1:25" s="82" customFormat="1" ht="13.75" customHeight="1" x14ac:dyDescent="0.2">
      <c r="A1" s="80" t="s">
        <v>56</v>
      </c>
      <c r="B1" s="78"/>
      <c r="C1" s="81"/>
      <c r="D1" s="81"/>
      <c r="E1" s="81"/>
      <c r="F1" s="81"/>
      <c r="G1" s="78"/>
      <c r="H1" s="78"/>
    </row>
    <row r="2" spans="1:25" ht="13.75" customHeight="1" x14ac:dyDescent="0.25">
      <c r="A2" s="18" t="s">
        <v>203</v>
      </c>
      <c r="B2"/>
      <c r="C2"/>
      <c r="D2"/>
      <c r="E2"/>
      <c r="F2"/>
      <c r="G2"/>
      <c r="H2"/>
    </row>
    <row r="3" spans="1:25" ht="16" x14ac:dyDescent="0.2">
      <c r="A3" s="41"/>
      <c r="B3" s="204" t="s">
        <v>171</v>
      </c>
      <c r="C3" s="204"/>
      <c r="D3" s="204"/>
      <c r="E3" s="204"/>
      <c r="F3" s="204"/>
      <c r="G3" s="204"/>
      <c r="H3" s="204"/>
      <c r="I3" s="211"/>
      <c r="J3" s="212" t="s">
        <v>100</v>
      </c>
      <c r="K3" s="204"/>
      <c r="L3" s="204"/>
      <c r="M3" s="204"/>
      <c r="N3" s="204"/>
      <c r="O3" s="204"/>
      <c r="P3" s="204"/>
      <c r="Q3" s="211"/>
      <c r="R3" s="202" t="s">
        <v>127</v>
      </c>
      <c r="S3" s="201"/>
      <c r="T3" s="201"/>
      <c r="U3" s="201"/>
      <c r="V3" s="201"/>
      <c r="W3" s="201"/>
      <c r="X3" s="201"/>
      <c r="Y3" s="203"/>
    </row>
    <row r="4" spans="1:25" ht="12.75" customHeight="1" x14ac:dyDescent="0.2">
      <c r="A4" s="46" t="s">
        <v>75</v>
      </c>
      <c r="B4" s="111">
        <v>2010</v>
      </c>
      <c r="C4" s="111">
        <v>2011</v>
      </c>
      <c r="D4" s="111">
        <v>2012</v>
      </c>
      <c r="E4" s="111">
        <v>2013</v>
      </c>
      <c r="F4" s="111">
        <v>2014</v>
      </c>
      <c r="G4" s="111">
        <v>2015</v>
      </c>
      <c r="H4" s="111">
        <v>2016</v>
      </c>
      <c r="I4" s="111">
        <v>2017</v>
      </c>
      <c r="J4" s="111">
        <v>2010</v>
      </c>
      <c r="K4" s="111">
        <v>2011</v>
      </c>
      <c r="L4" s="111">
        <v>2012</v>
      </c>
      <c r="M4" s="111">
        <v>2013</v>
      </c>
      <c r="N4" s="111">
        <v>2014</v>
      </c>
      <c r="O4" s="111">
        <v>2015</v>
      </c>
      <c r="P4" s="111">
        <v>2016</v>
      </c>
      <c r="Q4" s="111">
        <v>2017</v>
      </c>
      <c r="R4" s="111">
        <v>2010</v>
      </c>
      <c r="S4" s="111">
        <v>2011</v>
      </c>
      <c r="T4" s="111">
        <v>2012</v>
      </c>
      <c r="U4" s="111">
        <v>2013</v>
      </c>
      <c r="V4" s="111">
        <v>2014</v>
      </c>
      <c r="W4" s="111">
        <v>2015</v>
      </c>
      <c r="X4" s="111">
        <v>2016</v>
      </c>
      <c r="Y4" s="111">
        <v>2017</v>
      </c>
    </row>
    <row r="5" spans="1:25" ht="13.75" customHeight="1" x14ac:dyDescent="0.2">
      <c r="A5" s="25" t="s">
        <v>0</v>
      </c>
      <c r="B5" s="38">
        <v>21493</v>
      </c>
      <c r="C5" s="38">
        <v>23866</v>
      </c>
      <c r="D5" s="38">
        <v>26373</v>
      </c>
      <c r="E5" s="38">
        <v>27376</v>
      </c>
      <c r="F5" s="38">
        <v>29423</v>
      </c>
      <c r="G5" s="75">
        <v>28958</v>
      </c>
      <c r="H5" s="38">
        <v>30749</v>
      </c>
      <c r="I5" s="38">
        <v>32210</v>
      </c>
      <c r="J5" s="38">
        <v>21873</v>
      </c>
      <c r="K5" s="38">
        <v>23575</v>
      </c>
      <c r="L5" s="38">
        <v>25625</v>
      </c>
      <c r="M5" s="38">
        <v>27386</v>
      </c>
      <c r="N5" s="38">
        <v>28197</v>
      </c>
      <c r="O5" s="75">
        <v>28734</v>
      </c>
      <c r="P5" s="38">
        <v>29982</v>
      </c>
      <c r="Q5" s="38">
        <v>31326</v>
      </c>
      <c r="R5" s="38">
        <v>16530</v>
      </c>
      <c r="S5" s="38">
        <v>18207</v>
      </c>
      <c r="T5" s="38">
        <v>20278</v>
      </c>
      <c r="U5" s="38">
        <v>21162</v>
      </c>
      <c r="V5" s="75">
        <v>22130</v>
      </c>
      <c r="W5" s="75">
        <v>22477</v>
      </c>
      <c r="X5" s="75">
        <v>22961</v>
      </c>
      <c r="Y5" s="75">
        <v>22839</v>
      </c>
    </row>
    <row r="6" spans="1:25" s="5" customFormat="1" ht="13.75" customHeight="1" x14ac:dyDescent="0.2">
      <c r="A6" s="25" t="s">
        <v>1</v>
      </c>
      <c r="B6" s="38">
        <v>7742</v>
      </c>
      <c r="C6" s="38">
        <v>8426</v>
      </c>
      <c r="D6" s="38">
        <v>8178</v>
      </c>
      <c r="E6" s="38">
        <v>8447</v>
      </c>
      <c r="F6" s="38">
        <v>8781</v>
      </c>
      <c r="G6" s="75">
        <v>9094</v>
      </c>
      <c r="H6" s="38">
        <v>9501</v>
      </c>
      <c r="I6" s="38">
        <v>10404</v>
      </c>
      <c r="J6" s="38">
        <v>6766</v>
      </c>
      <c r="K6" s="38">
        <v>7416</v>
      </c>
      <c r="L6" s="38">
        <v>7029</v>
      </c>
      <c r="M6" s="38">
        <v>7243</v>
      </c>
      <c r="N6" s="38">
        <v>7827</v>
      </c>
      <c r="O6" s="75">
        <v>7899</v>
      </c>
      <c r="P6" s="38">
        <v>8062</v>
      </c>
      <c r="Q6" s="38">
        <v>8719</v>
      </c>
      <c r="R6" s="38">
        <v>5119</v>
      </c>
      <c r="S6" s="38">
        <v>5568</v>
      </c>
      <c r="T6" s="38">
        <v>5571</v>
      </c>
      <c r="U6" s="38">
        <v>5688</v>
      </c>
      <c r="V6" s="75">
        <v>5920</v>
      </c>
      <c r="W6" s="75">
        <v>6278</v>
      </c>
      <c r="X6" s="75">
        <v>6419</v>
      </c>
      <c r="Y6" s="75">
        <v>7090</v>
      </c>
    </row>
    <row r="7" spans="1:25" s="5" customFormat="1" ht="13.75" customHeight="1" x14ac:dyDescent="0.2">
      <c r="A7" s="25" t="s">
        <v>2</v>
      </c>
      <c r="B7" s="38">
        <v>17212</v>
      </c>
      <c r="C7" s="38">
        <v>18510</v>
      </c>
      <c r="D7" s="38">
        <v>19344</v>
      </c>
      <c r="E7" s="38">
        <v>20747</v>
      </c>
      <c r="F7" s="38">
        <v>20008</v>
      </c>
      <c r="G7" s="75">
        <v>19650</v>
      </c>
      <c r="H7" s="38">
        <v>18849</v>
      </c>
      <c r="I7" s="38">
        <v>19597</v>
      </c>
      <c r="J7" s="38">
        <v>14532</v>
      </c>
      <c r="K7" s="38">
        <v>15527</v>
      </c>
      <c r="L7" s="38">
        <v>16309</v>
      </c>
      <c r="M7" s="38">
        <v>17755</v>
      </c>
      <c r="N7" s="38">
        <v>17275</v>
      </c>
      <c r="O7" s="75">
        <v>17289</v>
      </c>
      <c r="P7" s="38">
        <v>16251</v>
      </c>
      <c r="Q7" s="38">
        <v>16628</v>
      </c>
      <c r="R7" s="38">
        <v>11489</v>
      </c>
      <c r="S7" s="38">
        <v>12421</v>
      </c>
      <c r="T7" s="38">
        <v>13158</v>
      </c>
      <c r="U7" s="38">
        <v>14276</v>
      </c>
      <c r="V7" s="75">
        <v>14002</v>
      </c>
      <c r="W7" s="75">
        <v>14307</v>
      </c>
      <c r="X7" s="75">
        <v>13062</v>
      </c>
      <c r="Y7" s="75">
        <v>12663</v>
      </c>
    </row>
    <row r="8" spans="1:25" s="5" customFormat="1" ht="13.75" customHeight="1" x14ac:dyDescent="0.2">
      <c r="A8" s="25" t="s">
        <v>3</v>
      </c>
      <c r="B8" s="38">
        <v>9504</v>
      </c>
      <c r="C8" s="38">
        <v>10106</v>
      </c>
      <c r="D8" s="38">
        <v>9554</v>
      </c>
      <c r="E8" s="38">
        <v>8792</v>
      </c>
      <c r="F8" s="38">
        <v>8439</v>
      </c>
      <c r="G8" s="75">
        <v>8709</v>
      </c>
      <c r="H8" s="38">
        <v>8668</v>
      </c>
      <c r="I8" s="38">
        <v>9611</v>
      </c>
      <c r="J8" s="38">
        <v>6523</v>
      </c>
      <c r="K8" s="38">
        <v>6900</v>
      </c>
      <c r="L8" s="38">
        <v>6885</v>
      </c>
      <c r="M8" s="38">
        <v>6562</v>
      </c>
      <c r="N8" s="38">
        <v>6500</v>
      </c>
      <c r="O8" s="75">
        <v>6780</v>
      </c>
      <c r="P8" s="38">
        <v>6932</v>
      </c>
      <c r="Q8" s="38">
        <v>7278</v>
      </c>
      <c r="R8" s="38">
        <v>5045</v>
      </c>
      <c r="S8" s="38">
        <v>5350</v>
      </c>
      <c r="T8" s="38">
        <v>5348</v>
      </c>
      <c r="U8" s="38">
        <v>4956</v>
      </c>
      <c r="V8" s="75">
        <v>4966</v>
      </c>
      <c r="W8" s="75">
        <v>5363</v>
      </c>
      <c r="X8" s="75">
        <v>5226</v>
      </c>
      <c r="Y8" s="75">
        <v>5645</v>
      </c>
    </row>
    <row r="9" spans="1:25" s="5" customFormat="1" ht="13.75" customHeight="1" x14ac:dyDescent="0.2">
      <c r="A9" s="25" t="s">
        <v>4</v>
      </c>
      <c r="B9" s="38">
        <v>5126</v>
      </c>
      <c r="C9" s="38">
        <v>5157</v>
      </c>
      <c r="D9" s="38">
        <v>5084</v>
      </c>
      <c r="E9" s="38">
        <v>5578</v>
      </c>
      <c r="F9" s="38">
        <v>5293</v>
      </c>
      <c r="G9" s="75">
        <v>4513</v>
      </c>
      <c r="H9" s="38">
        <v>4623</v>
      </c>
      <c r="I9" s="38">
        <v>4530</v>
      </c>
      <c r="J9" s="38">
        <v>4860</v>
      </c>
      <c r="K9" s="38">
        <v>4821</v>
      </c>
      <c r="L9" s="38">
        <v>4854</v>
      </c>
      <c r="M9" s="38">
        <v>5331</v>
      </c>
      <c r="N9" s="38">
        <v>5015</v>
      </c>
      <c r="O9" s="75">
        <v>4136</v>
      </c>
      <c r="P9" s="38">
        <v>4194</v>
      </c>
      <c r="Q9" s="38">
        <v>4064</v>
      </c>
      <c r="R9" s="38">
        <v>3469</v>
      </c>
      <c r="S9" s="38">
        <v>3515</v>
      </c>
      <c r="T9" s="38">
        <v>3483</v>
      </c>
      <c r="U9" s="38">
        <v>3826</v>
      </c>
      <c r="V9" s="75">
        <v>3678</v>
      </c>
      <c r="W9" s="75">
        <v>2960</v>
      </c>
      <c r="X9" s="75">
        <v>2917</v>
      </c>
      <c r="Y9" s="75">
        <v>2746</v>
      </c>
    </row>
    <row r="10" spans="1:25" s="5" customFormat="1" ht="13.75" customHeight="1" x14ac:dyDescent="0.2">
      <c r="A10" s="25" t="s">
        <v>5</v>
      </c>
      <c r="B10" s="38">
        <v>60064</v>
      </c>
      <c r="C10" s="38">
        <v>62932</v>
      </c>
      <c r="D10" s="38">
        <v>66506</v>
      </c>
      <c r="E10" s="38">
        <v>69714</v>
      </c>
      <c r="F10" s="38">
        <v>74999</v>
      </c>
      <c r="G10" s="75">
        <v>82443</v>
      </c>
      <c r="H10" s="38">
        <v>87468</v>
      </c>
      <c r="I10" s="38">
        <v>89946</v>
      </c>
      <c r="J10" s="38">
        <v>41399</v>
      </c>
      <c r="K10" s="38">
        <v>43384</v>
      </c>
      <c r="L10" s="38">
        <v>46995</v>
      </c>
      <c r="M10" s="38">
        <v>49940</v>
      </c>
      <c r="N10" s="38">
        <v>55025</v>
      </c>
      <c r="O10" s="75">
        <v>60215</v>
      </c>
      <c r="P10" s="38">
        <v>64451</v>
      </c>
      <c r="Q10" s="38">
        <v>65153</v>
      </c>
      <c r="R10" s="75">
        <v>30935</v>
      </c>
      <c r="S10" s="38">
        <v>32485</v>
      </c>
      <c r="T10" s="38">
        <v>36004</v>
      </c>
      <c r="U10" s="38">
        <v>37476</v>
      </c>
      <c r="V10" s="75">
        <v>42165</v>
      </c>
      <c r="W10" s="75">
        <v>46936</v>
      </c>
      <c r="X10" s="75">
        <v>49578</v>
      </c>
      <c r="Y10" s="75">
        <v>49742</v>
      </c>
    </row>
    <row r="11" spans="1:25" s="5" customFormat="1" ht="13.75" customHeight="1" x14ac:dyDescent="0.2">
      <c r="A11" s="30" t="s">
        <v>77</v>
      </c>
      <c r="B11" s="76">
        <v>6051</v>
      </c>
      <c r="C11" s="76">
        <v>6620</v>
      </c>
      <c r="D11" s="76">
        <v>7076</v>
      </c>
      <c r="E11" s="76">
        <v>7249</v>
      </c>
      <c r="F11" s="76">
        <v>6948</v>
      </c>
      <c r="G11" s="76">
        <v>7929</v>
      </c>
      <c r="H11" s="76">
        <v>8463</v>
      </c>
      <c r="I11" s="76">
        <v>9303</v>
      </c>
      <c r="J11" s="61">
        <v>3026</v>
      </c>
      <c r="K11" s="61">
        <v>3113</v>
      </c>
      <c r="L11" s="61">
        <v>2817</v>
      </c>
      <c r="M11" s="61">
        <v>2912</v>
      </c>
      <c r="N11" s="61">
        <v>3194</v>
      </c>
      <c r="O11" s="76">
        <v>2712</v>
      </c>
      <c r="P11" s="61">
        <v>2130</v>
      </c>
      <c r="Q11" s="61">
        <v>2226</v>
      </c>
      <c r="R11" s="61">
        <v>2602</v>
      </c>
      <c r="S11" s="61">
        <v>2573</v>
      </c>
      <c r="T11" s="61">
        <v>2483</v>
      </c>
      <c r="U11" s="61">
        <v>2609</v>
      </c>
      <c r="V11" s="76">
        <v>2732</v>
      </c>
      <c r="W11" s="76">
        <v>2284</v>
      </c>
      <c r="X11" s="76">
        <v>1868</v>
      </c>
      <c r="Y11" s="76">
        <v>1887</v>
      </c>
    </row>
    <row r="12" spans="1:25" s="5" customFormat="1" ht="13.75" customHeight="1" x14ac:dyDescent="0.2">
      <c r="A12" s="30" t="s">
        <v>79</v>
      </c>
      <c r="B12" s="61">
        <v>2142</v>
      </c>
      <c r="C12" s="61">
        <v>2628</v>
      </c>
      <c r="D12" s="61">
        <v>2385</v>
      </c>
      <c r="E12" s="61">
        <v>2553</v>
      </c>
      <c r="F12" s="76">
        <v>2157</v>
      </c>
      <c r="G12" s="76">
        <v>2094</v>
      </c>
      <c r="H12" s="76">
        <v>2099</v>
      </c>
      <c r="I12" s="76">
        <v>2022</v>
      </c>
      <c r="J12" s="61">
        <v>834</v>
      </c>
      <c r="K12" s="61">
        <v>858</v>
      </c>
      <c r="L12" s="61">
        <v>729</v>
      </c>
      <c r="M12" s="61">
        <v>874</v>
      </c>
      <c r="N12" s="76">
        <v>838</v>
      </c>
      <c r="O12" s="76">
        <v>715</v>
      </c>
      <c r="P12" s="76">
        <v>867</v>
      </c>
      <c r="Q12" s="76">
        <v>785</v>
      </c>
      <c r="R12" s="61">
        <v>593</v>
      </c>
      <c r="S12" s="61">
        <v>609</v>
      </c>
      <c r="T12" s="61">
        <v>539</v>
      </c>
      <c r="U12" s="61">
        <v>679</v>
      </c>
      <c r="V12" s="76">
        <v>636</v>
      </c>
      <c r="W12" s="76">
        <v>526</v>
      </c>
      <c r="X12" s="76">
        <v>595</v>
      </c>
      <c r="Y12" s="76">
        <v>576</v>
      </c>
    </row>
    <row r="13" spans="1:25" s="5" customFormat="1" ht="13.75" customHeight="1" x14ac:dyDescent="0.2">
      <c r="A13" s="30" t="s">
        <v>80</v>
      </c>
      <c r="B13" s="61">
        <v>1480</v>
      </c>
      <c r="C13" s="61">
        <v>1562</v>
      </c>
      <c r="D13" s="61">
        <v>1634</v>
      </c>
      <c r="E13" s="61">
        <v>1618</v>
      </c>
      <c r="F13" s="61">
        <v>1527</v>
      </c>
      <c r="G13" s="76">
        <v>1478</v>
      </c>
      <c r="H13" s="61">
        <v>2036</v>
      </c>
      <c r="I13" s="61">
        <v>1998</v>
      </c>
      <c r="J13" s="61">
        <v>545</v>
      </c>
      <c r="K13" s="61">
        <v>536</v>
      </c>
      <c r="L13" s="61">
        <v>522</v>
      </c>
      <c r="M13" s="61">
        <v>576</v>
      </c>
      <c r="N13" s="61">
        <v>607</v>
      </c>
      <c r="O13" s="76">
        <v>737</v>
      </c>
      <c r="P13" s="61">
        <v>1142</v>
      </c>
      <c r="Q13" s="61">
        <v>1051</v>
      </c>
      <c r="R13" s="61">
        <v>425</v>
      </c>
      <c r="S13" s="61">
        <v>407</v>
      </c>
      <c r="T13" s="61">
        <v>415</v>
      </c>
      <c r="U13" s="61">
        <v>459</v>
      </c>
      <c r="V13" s="76">
        <v>462</v>
      </c>
      <c r="W13" s="76">
        <v>563</v>
      </c>
      <c r="X13" s="76">
        <v>818</v>
      </c>
      <c r="Y13" s="76">
        <v>787</v>
      </c>
    </row>
    <row r="14" spans="1:25" s="45" customFormat="1" ht="13.75" customHeight="1" x14ac:dyDescent="0.2">
      <c r="A14" s="155" t="s">
        <v>78</v>
      </c>
      <c r="B14" s="76">
        <v>24185</v>
      </c>
      <c r="C14" s="76">
        <v>24230</v>
      </c>
      <c r="D14" s="76">
        <v>24604</v>
      </c>
      <c r="E14" s="76">
        <v>24999</v>
      </c>
      <c r="F14" s="76">
        <v>27537</v>
      </c>
      <c r="G14" s="76">
        <v>30886</v>
      </c>
      <c r="H14" s="76">
        <v>34706</v>
      </c>
      <c r="I14" s="76">
        <v>35872</v>
      </c>
      <c r="J14" s="76">
        <v>17579</v>
      </c>
      <c r="K14" s="76">
        <v>17796</v>
      </c>
      <c r="L14" s="76">
        <v>18859</v>
      </c>
      <c r="M14" s="76">
        <v>19750</v>
      </c>
      <c r="N14" s="76">
        <v>21001</v>
      </c>
      <c r="O14" s="76">
        <v>24130</v>
      </c>
      <c r="P14" s="76">
        <v>26788</v>
      </c>
      <c r="Q14" s="76">
        <v>26247</v>
      </c>
      <c r="R14" s="76">
        <v>13285</v>
      </c>
      <c r="S14" s="76">
        <v>13284</v>
      </c>
      <c r="T14" s="76">
        <v>14494</v>
      </c>
      <c r="U14" s="76">
        <v>14759</v>
      </c>
      <c r="V14" s="76">
        <v>16387</v>
      </c>
      <c r="W14" s="76">
        <v>19105</v>
      </c>
      <c r="X14" s="76">
        <v>21190</v>
      </c>
      <c r="Y14" s="76">
        <v>20547</v>
      </c>
    </row>
    <row r="15" spans="1:25" s="5" customFormat="1" ht="13.75" customHeight="1" x14ac:dyDescent="0.2">
      <c r="A15" s="30" t="s">
        <v>84</v>
      </c>
      <c r="B15" s="76">
        <v>26102</v>
      </c>
      <c r="C15" s="61">
        <v>27784</v>
      </c>
      <c r="D15" s="61">
        <v>30681</v>
      </c>
      <c r="E15" s="61">
        <v>33118</v>
      </c>
      <c r="F15" s="61">
        <v>36576</v>
      </c>
      <c r="G15" s="76">
        <v>39436</v>
      </c>
      <c r="H15" s="61">
        <v>40164</v>
      </c>
      <c r="I15" s="61">
        <v>40751</v>
      </c>
      <c r="J15" s="76">
        <v>19321</v>
      </c>
      <c r="K15" s="61">
        <v>21015</v>
      </c>
      <c r="L15" s="61">
        <v>23955</v>
      </c>
      <c r="M15" s="61">
        <v>25677</v>
      </c>
      <c r="N15" s="61">
        <v>29196</v>
      </c>
      <c r="O15" s="76">
        <v>31921</v>
      </c>
      <c r="P15" s="61">
        <v>33524</v>
      </c>
      <c r="Q15" s="61">
        <v>34844</v>
      </c>
      <c r="R15" s="76">
        <v>14030</v>
      </c>
      <c r="S15" s="61">
        <v>15612</v>
      </c>
      <c r="T15" s="61">
        <v>18073</v>
      </c>
      <c r="U15" s="61">
        <v>18970</v>
      </c>
      <c r="V15" s="76">
        <v>21948</v>
      </c>
      <c r="W15" s="76">
        <v>24458</v>
      </c>
      <c r="X15" s="76">
        <v>25107</v>
      </c>
      <c r="Y15" s="76">
        <v>25945</v>
      </c>
    </row>
    <row r="16" spans="1:25" s="5" customFormat="1" ht="13.75" customHeight="1" x14ac:dyDescent="0.2">
      <c r="A16" s="25" t="s">
        <v>6</v>
      </c>
      <c r="B16" s="75">
        <v>32092</v>
      </c>
      <c r="C16" s="38">
        <v>29757</v>
      </c>
      <c r="D16" s="38">
        <v>30842</v>
      </c>
      <c r="E16" s="38">
        <v>30883</v>
      </c>
      <c r="F16" s="38">
        <v>29974</v>
      </c>
      <c r="G16" s="75">
        <v>29409</v>
      </c>
      <c r="H16" s="38">
        <v>28412</v>
      </c>
      <c r="I16" s="38">
        <v>29089</v>
      </c>
      <c r="J16" s="38">
        <v>24650</v>
      </c>
      <c r="K16" s="38">
        <v>23747</v>
      </c>
      <c r="L16" s="38">
        <v>25128</v>
      </c>
      <c r="M16" s="38">
        <v>25647</v>
      </c>
      <c r="N16" s="38">
        <v>25469</v>
      </c>
      <c r="O16" s="75">
        <v>25316</v>
      </c>
      <c r="P16" s="38">
        <v>23718</v>
      </c>
      <c r="Q16" s="38">
        <v>24113</v>
      </c>
      <c r="R16" s="75">
        <v>18451</v>
      </c>
      <c r="S16" s="38">
        <v>17667</v>
      </c>
      <c r="T16" s="38">
        <v>19346</v>
      </c>
      <c r="U16" s="38">
        <v>18792</v>
      </c>
      <c r="V16" s="75">
        <v>19351</v>
      </c>
      <c r="W16" s="75">
        <v>20041</v>
      </c>
      <c r="X16" s="75">
        <v>17940</v>
      </c>
      <c r="Y16" s="75">
        <v>18669</v>
      </c>
    </row>
    <row r="17" spans="1:25" s="5" customFormat="1" ht="13.75" customHeight="1" x14ac:dyDescent="0.2">
      <c r="A17" s="25" t="s">
        <v>7</v>
      </c>
      <c r="B17" s="38">
        <v>40091</v>
      </c>
      <c r="C17" s="38">
        <v>41302</v>
      </c>
      <c r="D17" s="38">
        <v>41618</v>
      </c>
      <c r="E17" s="38">
        <v>41895</v>
      </c>
      <c r="F17" s="38">
        <v>42723</v>
      </c>
      <c r="G17" s="75">
        <v>44754</v>
      </c>
      <c r="H17" s="38">
        <v>44801</v>
      </c>
      <c r="I17" s="38">
        <v>43682</v>
      </c>
      <c r="J17" s="38">
        <v>33851</v>
      </c>
      <c r="K17" s="38">
        <v>35801</v>
      </c>
      <c r="L17" s="38">
        <v>36156</v>
      </c>
      <c r="M17" s="38">
        <v>37923</v>
      </c>
      <c r="N17" s="38">
        <v>38236</v>
      </c>
      <c r="O17" s="75">
        <v>40655</v>
      </c>
      <c r="P17" s="38">
        <v>40316</v>
      </c>
      <c r="Q17" s="38">
        <v>38728</v>
      </c>
      <c r="R17" s="75">
        <v>25417</v>
      </c>
      <c r="S17" s="38">
        <v>26745</v>
      </c>
      <c r="T17" s="38">
        <v>28164</v>
      </c>
      <c r="U17" s="38">
        <v>28864</v>
      </c>
      <c r="V17" s="75">
        <v>28971</v>
      </c>
      <c r="W17" s="75">
        <v>32503</v>
      </c>
      <c r="X17" s="75">
        <v>31241</v>
      </c>
      <c r="Y17" s="75">
        <v>30504</v>
      </c>
    </row>
    <row r="18" spans="1:25" s="5" customFormat="1" ht="13.75" customHeight="1" x14ac:dyDescent="0.2">
      <c r="A18" s="25" t="s">
        <v>8</v>
      </c>
      <c r="B18" s="38">
        <v>68299</v>
      </c>
      <c r="C18" s="38">
        <v>68641</v>
      </c>
      <c r="D18" s="38">
        <v>70467</v>
      </c>
      <c r="E18" s="38">
        <v>71875</v>
      </c>
      <c r="F18" s="38">
        <v>74885</v>
      </c>
      <c r="G18" s="75">
        <v>76377</v>
      </c>
      <c r="H18" s="38">
        <v>77002</v>
      </c>
      <c r="I18" s="38">
        <v>77557</v>
      </c>
      <c r="J18" s="38">
        <v>58025</v>
      </c>
      <c r="K18" s="38">
        <v>59787</v>
      </c>
      <c r="L18" s="38">
        <v>63262</v>
      </c>
      <c r="M18" s="38">
        <v>64710</v>
      </c>
      <c r="N18" s="38">
        <v>64389</v>
      </c>
      <c r="O18" s="75">
        <v>65935</v>
      </c>
      <c r="P18" s="38">
        <v>66958</v>
      </c>
      <c r="Q18" s="38">
        <v>66470</v>
      </c>
      <c r="R18" s="75">
        <v>43062</v>
      </c>
      <c r="S18" s="38">
        <v>44068</v>
      </c>
      <c r="T18" s="38">
        <v>46608</v>
      </c>
      <c r="U18" s="38">
        <v>46972</v>
      </c>
      <c r="V18" s="75">
        <v>47677</v>
      </c>
      <c r="W18" s="75">
        <v>50654</v>
      </c>
      <c r="X18" s="75">
        <v>50815</v>
      </c>
      <c r="Y18" s="75">
        <v>51016</v>
      </c>
    </row>
    <row r="19" spans="1:25" s="5" customFormat="1" ht="13.75" customHeight="1" x14ac:dyDescent="0.2">
      <c r="A19" s="25" t="s">
        <v>9</v>
      </c>
      <c r="B19" s="38">
        <v>29933</v>
      </c>
      <c r="C19" s="38">
        <v>30614</v>
      </c>
      <c r="D19" s="38">
        <v>29425</v>
      </c>
      <c r="E19" s="38">
        <v>29406</v>
      </c>
      <c r="F19" s="38">
        <v>28881</v>
      </c>
      <c r="G19" s="75">
        <v>28318</v>
      </c>
      <c r="H19" s="38">
        <v>29907</v>
      </c>
      <c r="I19" s="38">
        <v>28786</v>
      </c>
      <c r="J19" s="38">
        <v>21179</v>
      </c>
      <c r="K19" s="38">
        <v>21873</v>
      </c>
      <c r="L19" s="38">
        <v>22013</v>
      </c>
      <c r="M19" s="38">
        <v>23043</v>
      </c>
      <c r="N19" s="38">
        <v>22662</v>
      </c>
      <c r="O19" s="75">
        <v>22445</v>
      </c>
      <c r="P19" s="38">
        <v>23634</v>
      </c>
      <c r="Q19" s="38">
        <v>22499</v>
      </c>
      <c r="R19" s="38">
        <v>15332</v>
      </c>
      <c r="S19" s="38">
        <v>16278</v>
      </c>
      <c r="T19" s="38">
        <v>16860</v>
      </c>
      <c r="U19" s="38">
        <v>17089</v>
      </c>
      <c r="V19" s="75">
        <v>16992</v>
      </c>
      <c r="W19" s="75">
        <v>17691</v>
      </c>
      <c r="X19" s="75">
        <v>18073</v>
      </c>
      <c r="Y19" s="75">
        <v>17495</v>
      </c>
    </row>
    <row r="20" spans="1:25" s="5" customFormat="1" ht="13.75" customHeight="1" x14ac:dyDescent="0.2">
      <c r="A20" s="37" t="s">
        <v>81</v>
      </c>
      <c r="B20" s="39">
        <v>292854</v>
      </c>
      <c r="C20" s="39">
        <v>302472</v>
      </c>
      <c r="D20" s="39">
        <v>309639</v>
      </c>
      <c r="E20" s="39">
        <v>316607</v>
      </c>
      <c r="F20" s="39">
        <v>324877</v>
      </c>
      <c r="G20" s="147">
        <v>333514</v>
      </c>
      <c r="H20" s="39">
        <v>341421</v>
      </c>
      <c r="I20" s="39">
        <v>346800</v>
      </c>
      <c r="J20" s="39">
        <v>234999</v>
      </c>
      <c r="K20" s="39">
        <v>244431</v>
      </c>
      <c r="L20" s="39">
        <v>256472</v>
      </c>
      <c r="M20" s="39">
        <v>256472</v>
      </c>
      <c r="N20" s="39">
        <v>272155</v>
      </c>
      <c r="O20" s="147">
        <v>280672</v>
      </c>
      <c r="P20" s="39">
        <v>285846</v>
      </c>
      <c r="Q20" s="39">
        <v>286216</v>
      </c>
      <c r="R20" s="39">
        <v>175911</v>
      </c>
      <c r="S20" s="39">
        <v>183642</v>
      </c>
      <c r="T20" s="39">
        <v>196525</v>
      </c>
      <c r="U20" s="39">
        <v>200533</v>
      </c>
      <c r="V20" s="147">
        <v>207090</v>
      </c>
      <c r="W20" s="147">
        <v>220198</v>
      </c>
      <c r="X20" s="147">
        <v>219230</v>
      </c>
      <c r="Y20" s="147">
        <v>219290</v>
      </c>
    </row>
    <row r="21" spans="1:25" s="5" customFormat="1" ht="13.75" customHeight="1" x14ac:dyDescent="0.2">
      <c r="B21" s="110">
        <f>SUM(B5:B19)-B10</f>
        <v>291452</v>
      </c>
      <c r="C21" s="110"/>
      <c r="D21" s="110"/>
      <c r="E21" s="110"/>
      <c r="H21" s="110"/>
      <c r="I21" s="110"/>
      <c r="J21" s="110"/>
      <c r="K21" s="110"/>
      <c r="N21" s="110"/>
      <c r="O21" s="110"/>
      <c r="P21" s="110"/>
      <c r="Q21" s="110"/>
      <c r="R21" s="110"/>
    </row>
    <row r="22" spans="1:25" s="5" customFormat="1" ht="13.75" customHeight="1" x14ac:dyDescent="0.2">
      <c r="B22" s="110"/>
      <c r="C22" s="110"/>
      <c r="D22" s="110"/>
      <c r="E22" s="110"/>
      <c r="F22" s="110"/>
      <c r="G22" s="110"/>
      <c r="H22" s="110"/>
      <c r="I22" s="110"/>
      <c r="J22" s="110"/>
      <c r="K22" s="110"/>
      <c r="L22" s="110"/>
      <c r="M22" s="110"/>
      <c r="N22" s="110"/>
      <c r="O22" s="110"/>
      <c r="P22" s="110"/>
      <c r="Q22" s="110"/>
      <c r="R22" s="110"/>
      <c r="S22" s="128"/>
    </row>
    <row r="23" spans="1:25" s="5" customFormat="1" ht="13.75" customHeight="1" x14ac:dyDescent="0.2">
      <c r="B23" s="110"/>
      <c r="C23" s="110"/>
      <c r="D23" s="110"/>
      <c r="E23" s="110"/>
      <c r="F23" s="110"/>
      <c r="G23" s="110"/>
      <c r="H23" s="110"/>
      <c r="I23" s="110"/>
      <c r="J23" s="110"/>
      <c r="K23" s="110"/>
      <c r="L23" s="110"/>
      <c r="M23" s="110"/>
      <c r="N23" s="110"/>
      <c r="O23" s="110"/>
      <c r="P23" s="110"/>
      <c r="Q23" s="110"/>
      <c r="R23" s="110"/>
    </row>
    <row r="24" spans="1:25" s="5" customFormat="1" ht="13.75" customHeight="1" x14ac:dyDescent="0.2">
      <c r="A24" s="209" t="s">
        <v>191</v>
      </c>
      <c r="B24" s="209"/>
      <c r="C24" s="209"/>
      <c r="D24" s="209"/>
      <c r="E24" s="209"/>
      <c r="F24" s="209"/>
      <c r="G24" s="209"/>
      <c r="H24" s="209"/>
      <c r="I24" s="209"/>
      <c r="J24" s="209"/>
      <c r="K24" s="209"/>
      <c r="L24" s="209"/>
      <c r="M24" s="209"/>
      <c r="N24" s="209"/>
      <c r="O24" s="87"/>
      <c r="P24" s="87"/>
      <c r="Q24" s="87"/>
      <c r="R24" s="87"/>
      <c r="S24" s="87"/>
    </row>
    <row r="25" spans="1:25" ht="13.75" customHeight="1" x14ac:dyDescent="0.15">
      <c r="A25" s="210"/>
      <c r="B25" s="210"/>
      <c r="C25" s="210"/>
      <c r="D25" s="210"/>
      <c r="E25" s="210"/>
      <c r="F25" s="210"/>
      <c r="G25" s="210"/>
      <c r="H25" s="210"/>
      <c r="I25" s="210"/>
      <c r="J25" s="210"/>
      <c r="K25" s="210"/>
      <c r="L25" s="210"/>
      <c r="M25" s="210"/>
      <c r="N25" s="210"/>
    </row>
    <row r="26" spans="1:25" s="5" customFormat="1" ht="13.75" customHeight="1" x14ac:dyDescent="0.2">
      <c r="A26" s="41"/>
      <c r="B26" s="201" t="s">
        <v>101</v>
      </c>
      <c r="C26" s="201"/>
      <c r="D26" s="201"/>
      <c r="E26" s="201"/>
      <c r="F26" s="201"/>
      <c r="G26" s="201"/>
      <c r="H26" s="201"/>
      <c r="I26" s="203"/>
      <c r="J26" s="202" t="s">
        <v>202</v>
      </c>
      <c r="K26" s="201"/>
      <c r="L26" s="201"/>
      <c r="M26" s="201"/>
      <c r="N26" s="201"/>
      <c r="O26" s="201"/>
      <c r="P26" s="201"/>
      <c r="Q26" s="203"/>
      <c r="R26" s="148"/>
      <c r="S26" s="148"/>
    </row>
    <row r="27" spans="1:25" s="5" customFormat="1" ht="15" customHeight="1" x14ac:dyDescent="0.2">
      <c r="A27" s="46" t="s">
        <v>75</v>
      </c>
      <c r="B27" s="111">
        <v>2010</v>
      </c>
      <c r="C27" s="111">
        <v>2011</v>
      </c>
      <c r="D27" s="111">
        <v>2012</v>
      </c>
      <c r="E27" s="111">
        <v>2013</v>
      </c>
      <c r="F27" s="111">
        <v>2014</v>
      </c>
      <c r="G27" s="111">
        <v>2015</v>
      </c>
      <c r="H27" s="111">
        <v>2016</v>
      </c>
      <c r="I27" s="111">
        <v>2017</v>
      </c>
      <c r="J27" s="111">
        <v>2010</v>
      </c>
      <c r="K27" s="111">
        <v>2011</v>
      </c>
      <c r="L27" s="111">
        <v>2012</v>
      </c>
      <c r="M27" s="111">
        <v>2013</v>
      </c>
      <c r="N27" s="111">
        <v>2014</v>
      </c>
      <c r="O27" s="111">
        <v>2015</v>
      </c>
      <c r="P27" s="111">
        <v>2016</v>
      </c>
      <c r="Q27" s="111">
        <v>2017</v>
      </c>
      <c r="R27" s="148"/>
      <c r="S27" s="148"/>
    </row>
    <row r="28" spans="1:25" s="5" customFormat="1" ht="13.75" customHeight="1" x14ac:dyDescent="0.2">
      <c r="A28" s="25" t="s">
        <v>0</v>
      </c>
      <c r="B28" s="31">
        <f t="shared" ref="B28:Q28" si="0">J5/B5</f>
        <v>1.0176801749406783</v>
      </c>
      <c r="C28" s="31">
        <f t="shared" si="0"/>
        <v>0.9878069219810609</v>
      </c>
      <c r="D28" s="31">
        <f t="shared" si="0"/>
        <v>0.97163765972775185</v>
      </c>
      <c r="E28" s="31">
        <f t="shared" si="0"/>
        <v>1.000365283459965</v>
      </c>
      <c r="F28" s="31">
        <f t="shared" si="0"/>
        <v>0.95833191720762667</v>
      </c>
      <c r="G28" s="31">
        <f t="shared" si="0"/>
        <v>0.99226465916154427</v>
      </c>
      <c r="H28" s="31">
        <f t="shared" si="0"/>
        <v>0.97505609938534588</v>
      </c>
      <c r="I28" s="31">
        <f t="shared" si="0"/>
        <v>0.97255510710959325</v>
      </c>
      <c r="J28" s="31">
        <f t="shared" si="0"/>
        <v>0.75572623782745851</v>
      </c>
      <c r="K28" s="31">
        <f t="shared" si="0"/>
        <v>0.77230116648992575</v>
      </c>
      <c r="L28" s="31">
        <f t="shared" si="0"/>
        <v>0.79133658536585361</v>
      </c>
      <c r="M28" s="31">
        <f t="shared" si="0"/>
        <v>0.77273059227342433</v>
      </c>
      <c r="N28" s="31">
        <f t="shared" si="0"/>
        <v>0.78483526616306698</v>
      </c>
      <c r="O28" s="31">
        <f t="shared" si="0"/>
        <v>0.78224403146098698</v>
      </c>
      <c r="P28" s="31">
        <f t="shared" si="0"/>
        <v>0.76582616236408507</v>
      </c>
      <c r="Q28" s="31">
        <f t="shared" si="0"/>
        <v>0.72907488986784141</v>
      </c>
      <c r="R28" s="148"/>
      <c r="S28" s="148"/>
    </row>
    <row r="29" spans="1:25" s="5" customFormat="1" ht="13.75" customHeight="1" x14ac:dyDescent="0.2">
      <c r="A29" s="25" t="s">
        <v>1</v>
      </c>
      <c r="B29" s="31">
        <f t="shared" ref="B29:B43" si="1">J6/B6</f>
        <v>0.87393438388013434</v>
      </c>
      <c r="C29" s="31">
        <f t="shared" ref="C29:C43" si="2">K6/C6</f>
        <v>0.88013292190837877</v>
      </c>
      <c r="D29" s="31">
        <f t="shared" ref="D29:D43" si="3">L6/D6</f>
        <v>0.85950110051357298</v>
      </c>
      <c r="E29" s="31">
        <f t="shared" ref="E29:E43" si="4">M6/E6</f>
        <v>0.85746418846927908</v>
      </c>
      <c r="F29" s="31">
        <f t="shared" ref="F29:F43" si="5">N6/F6</f>
        <v>0.89135633754697641</v>
      </c>
      <c r="G29" s="31">
        <f t="shared" ref="G29:G43" si="6">O6/G6</f>
        <v>0.8685946778095448</v>
      </c>
      <c r="H29" s="31">
        <f t="shared" ref="H29:H43" si="7">P6/H6</f>
        <v>0.84854225870960953</v>
      </c>
      <c r="I29" s="31">
        <f t="shared" ref="I29:I43" si="8">Q6/I6</f>
        <v>0.83804306036139942</v>
      </c>
      <c r="J29" s="31">
        <f t="shared" ref="J29:J43" si="9">R6/J6</f>
        <v>0.75657700266036065</v>
      </c>
      <c r="K29" s="31">
        <f t="shared" ref="K29:K43" si="10">S6/K6</f>
        <v>0.7508090614886731</v>
      </c>
      <c r="L29" s="31">
        <f t="shared" ref="L29:L43" si="11">T6/L6</f>
        <v>0.79257362355953909</v>
      </c>
      <c r="M29" s="31">
        <f t="shared" ref="M29:M43" si="12">U6/M6</f>
        <v>0.7853099544387685</v>
      </c>
      <c r="N29" s="31">
        <f t="shared" ref="N29:N43" si="13">V6/N6</f>
        <v>0.75635620288744088</v>
      </c>
      <c r="O29" s="31">
        <f t="shared" ref="O29:O43" si="14">W6/O6</f>
        <v>0.79478414989239143</v>
      </c>
      <c r="P29" s="31">
        <f t="shared" ref="P29:P43" si="15">X6/P6</f>
        <v>0.79620441577772261</v>
      </c>
      <c r="Q29" s="31">
        <f t="shared" ref="Q29:Q43" si="16">Y6/Q6</f>
        <v>0.81316664755132473</v>
      </c>
      <c r="R29" s="148"/>
      <c r="S29" s="148"/>
    </row>
    <row r="30" spans="1:25" s="5" customFormat="1" ht="13.75" customHeight="1" x14ac:dyDescent="0.2">
      <c r="A30" s="25" t="s">
        <v>2</v>
      </c>
      <c r="B30" s="31">
        <f t="shared" si="1"/>
        <v>0.84429467813153614</v>
      </c>
      <c r="C30" s="31">
        <f t="shared" si="2"/>
        <v>0.83884386817936252</v>
      </c>
      <c r="D30" s="31">
        <f t="shared" si="3"/>
        <v>0.84310380479735314</v>
      </c>
      <c r="E30" s="31">
        <f t="shared" si="4"/>
        <v>0.85578637875355468</v>
      </c>
      <c r="F30" s="31">
        <f t="shared" si="5"/>
        <v>0.86340463814474211</v>
      </c>
      <c r="G30" s="31">
        <f t="shared" si="6"/>
        <v>0.87984732824427481</v>
      </c>
      <c r="H30" s="31">
        <f t="shared" si="7"/>
        <v>0.86216775425752035</v>
      </c>
      <c r="I30" s="31">
        <f t="shared" si="8"/>
        <v>0.84849721896208607</v>
      </c>
      <c r="J30" s="31">
        <f t="shared" si="9"/>
        <v>0.79060005505092212</v>
      </c>
      <c r="K30" s="31">
        <f t="shared" si="10"/>
        <v>0.79996135763508724</v>
      </c>
      <c r="L30" s="31">
        <f t="shared" si="11"/>
        <v>0.80679379483720648</v>
      </c>
      <c r="M30" s="31">
        <f t="shared" si="12"/>
        <v>0.80405519571951567</v>
      </c>
      <c r="N30" s="31">
        <f t="shared" si="13"/>
        <v>0.8105354558610709</v>
      </c>
      <c r="O30" s="31">
        <f t="shared" si="14"/>
        <v>0.82752038868644806</v>
      </c>
      <c r="P30" s="31">
        <f t="shared" si="15"/>
        <v>0.80376592209710174</v>
      </c>
      <c r="Q30" s="31">
        <f t="shared" si="16"/>
        <v>0.76154678854943469</v>
      </c>
      <c r="R30" s="148"/>
      <c r="S30" s="148"/>
    </row>
    <row r="31" spans="1:25" s="5" customFormat="1" ht="13.75" customHeight="1" x14ac:dyDescent="0.2">
      <c r="A31" s="25" t="s">
        <v>3</v>
      </c>
      <c r="B31" s="31">
        <f t="shared" si="1"/>
        <v>0.68634259259259256</v>
      </c>
      <c r="C31" s="31">
        <f t="shared" si="2"/>
        <v>0.68276271521868193</v>
      </c>
      <c r="D31" s="31">
        <f t="shared" si="3"/>
        <v>0.72064056939501775</v>
      </c>
      <c r="E31" s="31">
        <f t="shared" si="4"/>
        <v>0.74636032757051862</v>
      </c>
      <c r="F31" s="31">
        <f t="shared" si="5"/>
        <v>0.77023343998104044</v>
      </c>
      <c r="G31" s="31">
        <f t="shared" si="6"/>
        <v>0.77850499483293145</v>
      </c>
      <c r="H31" s="31">
        <f t="shared" si="7"/>
        <v>0.7997231195200738</v>
      </c>
      <c r="I31" s="31">
        <f t="shared" si="8"/>
        <v>0.75725730933305591</v>
      </c>
      <c r="J31" s="31">
        <f t="shared" si="9"/>
        <v>0.77341713935305845</v>
      </c>
      <c r="K31" s="31">
        <f t="shared" si="10"/>
        <v>0.77536231884057971</v>
      </c>
      <c r="L31" s="31">
        <f t="shared" si="11"/>
        <v>0.77676107480029044</v>
      </c>
      <c r="M31" s="31">
        <f t="shared" si="12"/>
        <v>0.75525754343188056</v>
      </c>
      <c r="N31" s="31">
        <f t="shared" si="13"/>
        <v>0.76400000000000001</v>
      </c>
      <c r="O31" s="31">
        <f t="shared" si="14"/>
        <v>0.79100294985250741</v>
      </c>
      <c r="P31" s="31">
        <f t="shared" si="15"/>
        <v>0.75389497980380837</v>
      </c>
      <c r="Q31" s="31">
        <f t="shared" si="16"/>
        <v>0.77562517175048085</v>
      </c>
      <c r="R31" s="148"/>
      <c r="S31" s="148"/>
    </row>
    <row r="32" spans="1:25" s="5" customFormat="1" ht="13.75" customHeight="1" x14ac:dyDescent="0.2">
      <c r="A32" s="25" t="s">
        <v>4</v>
      </c>
      <c r="B32" s="31">
        <f t="shared" si="1"/>
        <v>0.94810768630511122</v>
      </c>
      <c r="C32" s="31">
        <f t="shared" si="2"/>
        <v>0.93484584060500286</v>
      </c>
      <c r="D32" s="31">
        <f t="shared" si="3"/>
        <v>0.95476003147128241</v>
      </c>
      <c r="E32" s="31">
        <f t="shared" si="4"/>
        <v>0.95571889566152746</v>
      </c>
      <c r="F32" s="31">
        <f t="shared" si="5"/>
        <v>0.94747780086907241</v>
      </c>
      <c r="G32" s="31">
        <f t="shared" si="6"/>
        <v>0.91646354974518063</v>
      </c>
      <c r="H32" s="31">
        <f t="shared" si="7"/>
        <v>0.90720311486048022</v>
      </c>
      <c r="I32" s="31">
        <f t="shared" si="8"/>
        <v>0.89713024282560705</v>
      </c>
      <c r="J32" s="31">
        <f t="shared" si="9"/>
        <v>0.71378600823045268</v>
      </c>
      <c r="K32" s="31">
        <f t="shared" si="10"/>
        <v>0.72910184609002282</v>
      </c>
      <c r="L32" s="31">
        <f t="shared" si="11"/>
        <v>0.71755253399258345</v>
      </c>
      <c r="M32" s="31">
        <f t="shared" si="12"/>
        <v>0.71768898893265809</v>
      </c>
      <c r="N32" s="31">
        <f t="shared" si="13"/>
        <v>0.73339980059820542</v>
      </c>
      <c r="O32" s="31">
        <f t="shared" si="14"/>
        <v>0.71566731141199225</v>
      </c>
      <c r="P32" s="31">
        <f t="shared" si="15"/>
        <v>0.69551740581783505</v>
      </c>
      <c r="Q32" s="31">
        <f t="shared" si="16"/>
        <v>0.67568897637795278</v>
      </c>
      <c r="R32" s="149"/>
      <c r="S32" s="149"/>
    </row>
    <row r="33" spans="1:21" s="5" customFormat="1" ht="13.75" customHeight="1" x14ac:dyDescent="0.2">
      <c r="A33" s="25" t="s">
        <v>5</v>
      </c>
      <c r="B33" s="31">
        <f t="shared" si="1"/>
        <v>0.68924813532232287</v>
      </c>
      <c r="C33" s="31">
        <f t="shared" si="2"/>
        <v>0.6893790122672091</v>
      </c>
      <c r="D33" s="31">
        <f t="shared" si="3"/>
        <v>0.70662797341593242</v>
      </c>
      <c r="E33" s="31">
        <f t="shared" si="4"/>
        <v>0.71635539489915945</v>
      </c>
      <c r="F33" s="31">
        <f t="shared" si="5"/>
        <v>0.73367644901932028</v>
      </c>
      <c r="G33" s="31">
        <f t="shared" si="6"/>
        <v>0.73038341642104243</v>
      </c>
      <c r="H33" s="31">
        <f t="shared" si="7"/>
        <v>0.73685233456807064</v>
      </c>
      <c r="I33" s="31">
        <f t="shared" si="8"/>
        <v>0.7243568363240166</v>
      </c>
      <c r="J33" s="31">
        <f t="shared" si="9"/>
        <v>0.74724027150414263</v>
      </c>
      <c r="K33" s="31">
        <f t="shared" si="10"/>
        <v>0.74877835146597826</v>
      </c>
      <c r="L33" s="31">
        <f t="shared" si="11"/>
        <v>0.76612405575061182</v>
      </c>
      <c r="M33" s="31">
        <f t="shared" si="12"/>
        <v>0.75042050460552667</v>
      </c>
      <c r="N33" s="31">
        <f t="shared" si="13"/>
        <v>0.76628805088596097</v>
      </c>
      <c r="O33" s="31">
        <f t="shared" si="14"/>
        <v>0.77947355310138666</v>
      </c>
      <c r="P33" s="31">
        <f t="shared" si="15"/>
        <v>0.76923554328094212</v>
      </c>
      <c r="Q33" s="31">
        <f t="shared" si="16"/>
        <v>0.76346446057741013</v>
      </c>
      <c r="R33" s="150"/>
      <c r="S33" s="150"/>
    </row>
    <row r="34" spans="1:21" s="134" customFormat="1" ht="13.75" customHeight="1" x14ac:dyDescent="0.2">
      <c r="A34" s="30" t="s">
        <v>77</v>
      </c>
      <c r="B34" s="164">
        <f t="shared" si="1"/>
        <v>0.50008263097008754</v>
      </c>
      <c r="C34" s="164">
        <f t="shared" si="2"/>
        <v>0.47024169184290032</v>
      </c>
      <c r="D34" s="164">
        <f t="shared" si="3"/>
        <v>0.39810627473148674</v>
      </c>
      <c r="E34" s="164">
        <f t="shared" si="4"/>
        <v>0.40171058076976135</v>
      </c>
      <c r="F34" s="133">
        <f t="shared" si="5"/>
        <v>0.45970063327576283</v>
      </c>
      <c r="G34" s="164">
        <f t="shared" si="6"/>
        <v>0.34203556564510029</v>
      </c>
      <c r="H34" s="164">
        <f t="shared" si="7"/>
        <v>0.25168380007089686</v>
      </c>
      <c r="I34" s="31">
        <f t="shared" si="8"/>
        <v>0.23927765237020315</v>
      </c>
      <c r="J34" s="133">
        <f t="shared" si="9"/>
        <v>0.85988103106411107</v>
      </c>
      <c r="K34" s="133">
        <f t="shared" si="10"/>
        <v>0.82653389013813039</v>
      </c>
      <c r="L34" s="133">
        <f t="shared" si="11"/>
        <v>0.88143414980475687</v>
      </c>
      <c r="M34" s="133">
        <f t="shared" si="12"/>
        <v>0.89594780219780223</v>
      </c>
      <c r="N34" s="133">
        <f t="shared" si="13"/>
        <v>0.85535378835316223</v>
      </c>
      <c r="O34" s="133">
        <f t="shared" si="14"/>
        <v>0.84218289085545728</v>
      </c>
      <c r="P34" s="133">
        <f t="shared" si="15"/>
        <v>0.87699530516431923</v>
      </c>
      <c r="Q34" s="31">
        <f t="shared" si="16"/>
        <v>0.84770889487870615</v>
      </c>
      <c r="R34" s="150"/>
      <c r="S34" s="150"/>
    </row>
    <row r="35" spans="1:21" s="134" customFormat="1" ht="13.75" customHeight="1" x14ac:dyDescent="0.2">
      <c r="A35" s="30" t="s">
        <v>79</v>
      </c>
      <c r="B35" s="164">
        <f t="shared" si="1"/>
        <v>0.38935574229691877</v>
      </c>
      <c r="C35" s="164">
        <f t="shared" si="2"/>
        <v>0.32648401826484019</v>
      </c>
      <c r="D35" s="164">
        <f t="shared" si="3"/>
        <v>0.30566037735849055</v>
      </c>
      <c r="E35" s="164">
        <f t="shared" si="4"/>
        <v>0.34234234234234234</v>
      </c>
      <c r="F35" s="133">
        <f t="shared" si="5"/>
        <v>0.38850254983773758</v>
      </c>
      <c r="G35" s="164">
        <f t="shared" si="6"/>
        <v>0.34145176695319962</v>
      </c>
      <c r="H35" s="164">
        <f t="shared" si="7"/>
        <v>0.41305383515959981</v>
      </c>
      <c r="I35" s="31">
        <f t="shared" si="8"/>
        <v>0.38822947576656774</v>
      </c>
      <c r="J35" s="133">
        <f t="shared" si="9"/>
        <v>0.71103117505995206</v>
      </c>
      <c r="K35" s="133">
        <f t="shared" si="10"/>
        <v>0.70979020979020979</v>
      </c>
      <c r="L35" s="133">
        <f t="shared" si="11"/>
        <v>0.73936899862825789</v>
      </c>
      <c r="M35" s="133">
        <f t="shared" si="12"/>
        <v>0.77688787185354691</v>
      </c>
      <c r="N35" s="133">
        <f t="shared" si="13"/>
        <v>0.75894988066825775</v>
      </c>
      <c r="O35" s="133">
        <f t="shared" si="14"/>
        <v>0.73566433566433564</v>
      </c>
      <c r="P35" s="133">
        <f t="shared" si="15"/>
        <v>0.68627450980392157</v>
      </c>
      <c r="Q35" s="31">
        <f t="shared" si="16"/>
        <v>0.73375796178343944</v>
      </c>
      <c r="R35" s="150"/>
      <c r="S35" s="150"/>
    </row>
    <row r="36" spans="1:21" s="134" customFormat="1" ht="13.75" customHeight="1" x14ac:dyDescent="0.2">
      <c r="A36" s="30" t="s">
        <v>80</v>
      </c>
      <c r="B36" s="164">
        <f t="shared" si="1"/>
        <v>0.36824324324324326</v>
      </c>
      <c r="C36" s="164">
        <f t="shared" si="2"/>
        <v>0.34314980793854033</v>
      </c>
      <c r="D36" s="164">
        <f t="shared" si="3"/>
        <v>0.31946144430844553</v>
      </c>
      <c r="E36" s="164">
        <f t="shared" si="4"/>
        <v>0.35599505562422745</v>
      </c>
      <c r="F36" s="133">
        <f t="shared" si="5"/>
        <v>0.39751146037982971</v>
      </c>
      <c r="G36" s="164">
        <f t="shared" si="6"/>
        <v>0.49864682002706362</v>
      </c>
      <c r="H36" s="164">
        <f t="shared" si="7"/>
        <v>0.56090373280943029</v>
      </c>
      <c r="I36" s="31">
        <f t="shared" si="8"/>
        <v>0.52602602602602599</v>
      </c>
      <c r="J36" s="133">
        <f t="shared" si="9"/>
        <v>0.77981651376146788</v>
      </c>
      <c r="K36" s="133">
        <f t="shared" si="10"/>
        <v>0.75932835820895528</v>
      </c>
      <c r="L36" s="133">
        <f t="shared" si="11"/>
        <v>0.79501915708812265</v>
      </c>
      <c r="M36" s="133">
        <f t="shared" si="12"/>
        <v>0.796875</v>
      </c>
      <c r="N36" s="133">
        <f t="shared" si="13"/>
        <v>0.76112026359143325</v>
      </c>
      <c r="O36" s="133">
        <f t="shared" si="14"/>
        <v>0.76390773405698775</v>
      </c>
      <c r="P36" s="133">
        <f t="shared" si="15"/>
        <v>0.71628721541155871</v>
      </c>
      <c r="Q36" s="31">
        <f t="shared" si="16"/>
        <v>0.74881065651760226</v>
      </c>
      <c r="R36" s="148"/>
      <c r="S36" s="148"/>
      <c r="T36" s="136"/>
    </row>
    <row r="37" spans="1:21" s="134" customFormat="1" ht="13.75" customHeight="1" x14ac:dyDescent="0.2">
      <c r="A37" s="30" t="s">
        <v>78</v>
      </c>
      <c r="B37" s="164">
        <f t="shared" si="1"/>
        <v>0.72685548893942531</v>
      </c>
      <c r="C37" s="164">
        <f t="shared" si="2"/>
        <v>0.73446141147338007</v>
      </c>
      <c r="D37" s="164">
        <f t="shared" si="3"/>
        <v>0.76650138188912376</v>
      </c>
      <c r="E37" s="164">
        <f t="shared" si="4"/>
        <v>0.79003160126405059</v>
      </c>
      <c r="F37" s="164">
        <f t="shared" si="5"/>
        <v>0.76264662091004831</v>
      </c>
      <c r="G37" s="164">
        <f t="shared" si="6"/>
        <v>0.78126011785274885</v>
      </c>
      <c r="H37" s="164">
        <f t="shared" si="7"/>
        <v>0.77185501066098083</v>
      </c>
      <c r="I37" s="31">
        <f t="shared" si="8"/>
        <v>0.73168487957181083</v>
      </c>
      <c r="J37" s="133">
        <f t="shared" si="9"/>
        <v>0.7557312702656579</v>
      </c>
      <c r="K37" s="133">
        <f t="shared" si="10"/>
        <v>0.74645987862440999</v>
      </c>
      <c r="L37" s="133">
        <f t="shared" si="11"/>
        <v>0.76854552203192106</v>
      </c>
      <c r="M37" s="133">
        <f t="shared" si="12"/>
        <v>0.74729113924050627</v>
      </c>
      <c r="N37" s="133">
        <f t="shared" si="13"/>
        <v>0.78029617637255366</v>
      </c>
      <c r="O37" s="133">
        <f t="shared" si="14"/>
        <v>0.79175300455864073</v>
      </c>
      <c r="P37" s="133">
        <f t="shared" si="15"/>
        <v>0.79102583246229652</v>
      </c>
      <c r="Q37" s="31">
        <f t="shared" si="16"/>
        <v>0.78283232369413647</v>
      </c>
      <c r="R37" s="149"/>
      <c r="S37" s="149"/>
      <c r="T37" s="135"/>
    </row>
    <row r="38" spans="1:21" s="134" customFormat="1" ht="13.75" customHeight="1" x14ac:dyDescent="0.2">
      <c r="A38" s="30" t="s">
        <v>84</v>
      </c>
      <c r="B38" s="133">
        <f t="shared" si="1"/>
        <v>0.74021147804765919</v>
      </c>
      <c r="C38" s="133">
        <f t="shared" si="2"/>
        <v>0.75637057299164989</v>
      </c>
      <c r="D38" s="133">
        <f t="shared" si="3"/>
        <v>0.78077637625892249</v>
      </c>
      <c r="E38" s="133">
        <f t="shared" si="4"/>
        <v>0.77531855788393023</v>
      </c>
      <c r="F38" s="133">
        <f t="shared" si="5"/>
        <v>0.79822834645669294</v>
      </c>
      <c r="G38" s="133">
        <f t="shared" si="6"/>
        <v>0.80943807688406533</v>
      </c>
      <c r="H38" s="133">
        <f t="shared" si="7"/>
        <v>0.83467782093416987</v>
      </c>
      <c r="I38" s="31">
        <f t="shared" si="8"/>
        <v>0.85504650192633314</v>
      </c>
      <c r="J38" s="133">
        <f t="shared" si="9"/>
        <v>0.72615289063713062</v>
      </c>
      <c r="K38" s="133">
        <f t="shared" si="10"/>
        <v>0.74289793004996429</v>
      </c>
      <c r="L38" s="133">
        <f t="shared" si="11"/>
        <v>0.75445627217699851</v>
      </c>
      <c r="M38" s="133">
        <f t="shared" si="12"/>
        <v>0.73879347275772089</v>
      </c>
      <c r="N38" s="133">
        <f t="shared" si="13"/>
        <v>0.75174681463214144</v>
      </c>
      <c r="O38" s="133">
        <f t="shared" si="14"/>
        <v>0.76620406628865012</v>
      </c>
      <c r="P38" s="133">
        <f t="shared" si="15"/>
        <v>0.74892614246509959</v>
      </c>
      <c r="Q38" s="31">
        <f t="shared" si="16"/>
        <v>0.74460452301687519</v>
      </c>
      <c r="R38" s="148"/>
      <c r="S38" s="148"/>
      <c r="T38" s="136"/>
    </row>
    <row r="39" spans="1:21" s="5" customFormat="1" ht="13.75" customHeight="1" x14ac:dyDescent="0.2">
      <c r="A39" s="25" t="s">
        <v>6</v>
      </c>
      <c r="B39" s="31">
        <f t="shared" si="1"/>
        <v>0.76810420042378158</v>
      </c>
      <c r="C39" s="31">
        <f t="shared" si="2"/>
        <v>0.79803071546190807</v>
      </c>
      <c r="D39" s="31">
        <f t="shared" si="3"/>
        <v>0.81473315608585695</v>
      </c>
      <c r="E39" s="31">
        <f t="shared" si="4"/>
        <v>0.83045688566525278</v>
      </c>
      <c r="F39" s="31">
        <f t="shared" si="5"/>
        <v>0.84970307599919925</v>
      </c>
      <c r="G39" s="31">
        <f t="shared" si="6"/>
        <v>0.86082491754224899</v>
      </c>
      <c r="H39" s="31">
        <f t="shared" si="7"/>
        <v>0.83478811769674788</v>
      </c>
      <c r="I39" s="31">
        <f t="shared" si="8"/>
        <v>0.82893877410705075</v>
      </c>
      <c r="J39" s="31">
        <f t="shared" si="9"/>
        <v>0.74851926977687622</v>
      </c>
      <c r="K39" s="31">
        <f t="shared" si="10"/>
        <v>0.743967659072725</v>
      </c>
      <c r="L39" s="31">
        <f t="shared" si="11"/>
        <v>0.7698981216173193</v>
      </c>
      <c r="M39" s="31">
        <f t="shared" si="12"/>
        <v>0.73271727687448829</v>
      </c>
      <c r="N39" s="31">
        <f t="shared" si="13"/>
        <v>0.75978640700459377</v>
      </c>
      <c r="O39" s="31">
        <f t="shared" si="14"/>
        <v>0.79163374940748932</v>
      </c>
      <c r="P39" s="31">
        <f t="shared" si="15"/>
        <v>0.75638755375664057</v>
      </c>
      <c r="Q39" s="31">
        <f t="shared" si="16"/>
        <v>0.77422966864347031</v>
      </c>
      <c r="R39" s="148"/>
      <c r="S39" s="148"/>
      <c r="T39"/>
    </row>
    <row r="40" spans="1:21" s="5" customFormat="1" ht="13.75" customHeight="1" x14ac:dyDescent="0.2">
      <c r="A40" s="25" t="s">
        <v>7</v>
      </c>
      <c r="B40" s="31">
        <f t="shared" si="1"/>
        <v>0.84435409443515996</v>
      </c>
      <c r="C40" s="31">
        <f t="shared" si="2"/>
        <v>0.86681032395525637</v>
      </c>
      <c r="D40" s="31">
        <f t="shared" si="3"/>
        <v>0.86875871017348261</v>
      </c>
      <c r="E40" s="31">
        <f t="shared" si="4"/>
        <v>0.90519155030433229</v>
      </c>
      <c r="F40" s="31">
        <f t="shared" si="5"/>
        <v>0.89497460384336303</v>
      </c>
      <c r="G40" s="31">
        <f t="shared" si="6"/>
        <v>0.90841042141484563</v>
      </c>
      <c r="H40" s="31">
        <f t="shared" si="7"/>
        <v>0.89989062744135173</v>
      </c>
      <c r="I40" s="31">
        <f t="shared" si="8"/>
        <v>0.88658944187537203</v>
      </c>
      <c r="J40" s="31">
        <f t="shared" si="9"/>
        <v>0.75084931021240142</v>
      </c>
      <c r="K40" s="31">
        <f t="shared" si="10"/>
        <v>0.74704617189463984</v>
      </c>
      <c r="L40" s="31">
        <f t="shared" si="11"/>
        <v>0.77895784931961498</v>
      </c>
      <c r="M40" s="31">
        <f t="shared" si="12"/>
        <v>0.76112121931281806</v>
      </c>
      <c r="N40" s="31">
        <f t="shared" si="13"/>
        <v>0.75768908881682184</v>
      </c>
      <c r="O40" s="31">
        <f t="shared" si="14"/>
        <v>0.79948345836920431</v>
      </c>
      <c r="P40" s="31">
        <f t="shared" si="15"/>
        <v>0.77490326421271949</v>
      </c>
      <c r="Q40" s="31">
        <f t="shared" si="16"/>
        <v>0.78764718033464165</v>
      </c>
      <c r="R40" s="148"/>
      <c r="S40" s="148"/>
      <c r="T40"/>
    </row>
    <row r="41" spans="1:21" s="5" customFormat="1" ht="13.75" customHeight="1" x14ac:dyDescent="0.2">
      <c r="A41" s="25" t="s">
        <v>8</v>
      </c>
      <c r="B41" s="31">
        <f t="shared" si="1"/>
        <v>0.84957320019326787</v>
      </c>
      <c r="C41" s="31">
        <f t="shared" si="2"/>
        <v>0.87101003773255048</v>
      </c>
      <c r="D41" s="31">
        <f t="shared" si="3"/>
        <v>0.89775355840322424</v>
      </c>
      <c r="E41" s="31">
        <f t="shared" si="4"/>
        <v>0.90031304347826091</v>
      </c>
      <c r="F41" s="31">
        <f t="shared" si="5"/>
        <v>0.85983841890899382</v>
      </c>
      <c r="G41" s="31">
        <f t="shared" si="6"/>
        <v>0.86328344920591282</v>
      </c>
      <c r="H41" s="31">
        <f t="shared" si="7"/>
        <v>0.86956182956286854</v>
      </c>
      <c r="I41" s="31">
        <f t="shared" si="8"/>
        <v>0.85704707505447608</v>
      </c>
      <c r="J41" s="31">
        <f t="shared" si="9"/>
        <v>0.74212839293408017</v>
      </c>
      <c r="K41" s="31">
        <f t="shared" si="10"/>
        <v>0.73708331242577818</v>
      </c>
      <c r="L41" s="31">
        <f t="shared" si="11"/>
        <v>0.73674559767316872</v>
      </c>
      <c r="M41" s="31">
        <f t="shared" si="12"/>
        <v>0.72588471642713648</v>
      </c>
      <c r="N41" s="31">
        <f t="shared" si="13"/>
        <v>0.74045256177297369</v>
      </c>
      <c r="O41" s="31">
        <f t="shared" si="14"/>
        <v>0.76824144991279286</v>
      </c>
      <c r="P41" s="31">
        <f t="shared" si="15"/>
        <v>0.7589085695510619</v>
      </c>
      <c r="Q41" s="31">
        <f t="shared" si="16"/>
        <v>0.76750413720475408</v>
      </c>
      <c r="T41"/>
    </row>
    <row r="42" spans="1:21" s="5" customFormat="1" ht="13.75" customHeight="1" x14ac:dyDescent="0.2">
      <c r="A42" s="25" t="s">
        <v>9</v>
      </c>
      <c r="B42" s="31">
        <f t="shared" si="1"/>
        <v>0.70754685464203393</v>
      </c>
      <c r="C42" s="31">
        <f t="shared" si="2"/>
        <v>0.7144770366498987</v>
      </c>
      <c r="D42" s="31">
        <f t="shared" si="3"/>
        <v>0.74810535259133393</v>
      </c>
      <c r="E42" s="31">
        <f t="shared" si="4"/>
        <v>0.7836155886553765</v>
      </c>
      <c r="F42" s="31">
        <f t="shared" si="5"/>
        <v>0.78466812090994076</v>
      </c>
      <c r="G42" s="31">
        <f t="shared" si="6"/>
        <v>0.79260540998658102</v>
      </c>
      <c r="H42" s="31">
        <f t="shared" si="7"/>
        <v>0.79024977430033105</v>
      </c>
      <c r="I42" s="31">
        <f t="shared" si="8"/>
        <v>0.78159521989856184</v>
      </c>
      <c r="J42" s="31">
        <f t="shared" si="9"/>
        <v>0.7239246423343878</v>
      </c>
      <c r="K42" s="31">
        <f t="shared" si="10"/>
        <v>0.74420518447400907</v>
      </c>
      <c r="L42" s="31">
        <f t="shared" si="11"/>
        <v>0.76591105255985104</v>
      </c>
      <c r="M42" s="31">
        <f t="shared" si="12"/>
        <v>0.7416135051859567</v>
      </c>
      <c r="N42" s="31">
        <f t="shared" si="13"/>
        <v>0.74980142970611596</v>
      </c>
      <c r="O42" s="31">
        <f t="shared" si="14"/>
        <v>0.78819336155045672</v>
      </c>
      <c r="P42" s="31">
        <f t="shared" si="15"/>
        <v>0.7647033934162647</v>
      </c>
      <c r="Q42" s="31">
        <f t="shared" si="16"/>
        <v>0.77759011511622744</v>
      </c>
      <c r="R42"/>
      <c r="S42"/>
      <c r="T42"/>
    </row>
    <row r="43" spans="1:21" s="6" customFormat="1" ht="13.75" customHeight="1" x14ac:dyDescent="0.2">
      <c r="A43" s="37" t="s">
        <v>81</v>
      </c>
      <c r="B43" s="50">
        <f t="shared" si="1"/>
        <v>0.80244422135261939</v>
      </c>
      <c r="C43" s="50">
        <f t="shared" si="2"/>
        <v>0.80811116400856942</v>
      </c>
      <c r="D43" s="50">
        <f t="shared" si="3"/>
        <v>0.82829359350727783</v>
      </c>
      <c r="E43" s="50">
        <f t="shared" si="4"/>
        <v>0.81006421209891122</v>
      </c>
      <c r="F43" s="50">
        <f t="shared" si="5"/>
        <v>0.83771704368114697</v>
      </c>
      <c r="G43" s="50">
        <f t="shared" si="6"/>
        <v>0.84155987454799497</v>
      </c>
      <c r="H43" s="50">
        <f t="shared" si="7"/>
        <v>0.83722442380521411</v>
      </c>
      <c r="I43" s="50">
        <f t="shared" si="8"/>
        <v>0.82530565167243364</v>
      </c>
      <c r="J43" s="50">
        <f t="shared" si="9"/>
        <v>0.74856063217290292</v>
      </c>
      <c r="K43" s="50">
        <f t="shared" si="10"/>
        <v>0.75130404899542202</v>
      </c>
      <c r="L43" s="50">
        <f t="shared" si="11"/>
        <v>0.76626298387348324</v>
      </c>
      <c r="M43" s="50">
        <f t="shared" si="12"/>
        <v>0.78189042078667459</v>
      </c>
      <c r="N43" s="50">
        <f t="shared" si="13"/>
        <v>0.76092667781227608</v>
      </c>
      <c r="O43" s="50">
        <f t="shared" si="14"/>
        <v>0.78453853608482504</v>
      </c>
      <c r="P43" s="50">
        <f t="shared" si="15"/>
        <v>0.76695143538828603</v>
      </c>
      <c r="Q43" s="50">
        <f t="shared" si="16"/>
        <v>0.76616960617156271</v>
      </c>
      <c r="R43"/>
      <c r="S43"/>
      <c r="T43" s="3"/>
      <c r="U43" s="5"/>
    </row>
    <row r="44" spans="1:21" s="5" customFormat="1" ht="13.75" customHeight="1" x14ac:dyDescent="0.15">
      <c r="B44" s="2"/>
      <c r="C44" s="4"/>
      <c r="D44" s="4"/>
      <c r="E44" s="4"/>
      <c r="F44" s="4"/>
      <c r="G44" s="2"/>
      <c r="H44" s="2"/>
      <c r="I44"/>
      <c r="J44"/>
      <c r="K44"/>
      <c r="L44"/>
      <c r="M44"/>
      <c r="N44"/>
      <c r="O44"/>
      <c r="P44"/>
      <c r="Q44"/>
      <c r="R44"/>
    </row>
    <row r="45" spans="1:21" s="5" customFormat="1" ht="13.75" customHeight="1" x14ac:dyDescent="0.15">
      <c r="B45" s="2"/>
      <c r="C45" s="4"/>
      <c r="D45" s="4"/>
      <c r="E45" s="4"/>
      <c r="F45" s="4"/>
      <c r="G45" s="2"/>
      <c r="H45" s="2"/>
      <c r="I45"/>
      <c r="J45"/>
      <c r="K45"/>
      <c r="L45"/>
      <c r="M45"/>
      <c r="N45"/>
      <c r="O45"/>
      <c r="P45"/>
      <c r="Q45"/>
      <c r="R45"/>
    </row>
    <row r="46" spans="1:21" s="5" customFormat="1" ht="13.75" customHeight="1" x14ac:dyDescent="0.15">
      <c r="B46" s="2"/>
      <c r="C46" s="4"/>
      <c r="D46" s="4"/>
      <c r="E46" s="4"/>
      <c r="F46" s="4"/>
      <c r="G46" s="2"/>
      <c r="H46" s="2"/>
      <c r="I46"/>
      <c r="J46"/>
      <c r="K46"/>
      <c r="L46"/>
      <c r="M46"/>
      <c r="N46"/>
      <c r="O46"/>
      <c r="P46"/>
      <c r="Q46"/>
      <c r="R46"/>
    </row>
    <row r="47" spans="1:21" s="5" customFormat="1" ht="13.75" customHeight="1" x14ac:dyDescent="0.15">
      <c r="B47" s="2"/>
      <c r="C47" s="4"/>
      <c r="D47" s="4"/>
      <c r="E47" s="4"/>
      <c r="F47" s="4"/>
      <c r="G47" s="2"/>
      <c r="H47" s="2"/>
      <c r="I47"/>
      <c r="J47"/>
      <c r="K47"/>
      <c r="L47"/>
      <c r="M47"/>
      <c r="N47"/>
      <c r="O47"/>
      <c r="P47"/>
      <c r="Q47"/>
      <c r="R47"/>
      <c r="S47"/>
    </row>
    <row r="48" spans="1:21" s="5" customFormat="1" ht="13.75" customHeight="1" x14ac:dyDescent="0.15">
      <c r="A48" s="104"/>
      <c r="B48" s="2"/>
      <c r="C48" s="4"/>
      <c r="D48" s="4"/>
      <c r="E48" s="4"/>
      <c r="F48" s="4"/>
      <c r="G48" s="2"/>
      <c r="H48" s="2"/>
      <c r="I48"/>
      <c r="J48"/>
      <c r="K48"/>
      <c r="L48"/>
      <c r="M48"/>
      <c r="N48"/>
      <c r="O48"/>
      <c r="P48"/>
      <c r="Q48"/>
      <c r="R48"/>
      <c r="S48"/>
    </row>
    <row r="49" spans="1:19" s="5" customFormat="1" ht="13.75" customHeight="1" x14ac:dyDescent="0.15">
      <c r="A49" s="104"/>
      <c r="B49" s="2"/>
      <c r="C49" s="4"/>
      <c r="D49" s="4"/>
      <c r="E49" s="4"/>
      <c r="F49" s="4"/>
      <c r="G49" s="2"/>
      <c r="H49" s="2"/>
      <c r="I49"/>
      <c r="J49"/>
      <c r="K49"/>
      <c r="L49"/>
      <c r="M49"/>
      <c r="N49"/>
      <c r="O49"/>
      <c r="P49"/>
      <c r="Q49"/>
      <c r="R49"/>
      <c r="S49"/>
    </row>
    <row r="50" spans="1:19" s="5" customFormat="1" ht="13.75" customHeight="1" x14ac:dyDescent="0.15">
      <c r="A50" s="104"/>
      <c r="B50" s="2"/>
      <c r="C50" s="4"/>
      <c r="D50" s="4"/>
      <c r="E50" s="4"/>
      <c r="F50" s="4"/>
      <c r="G50" s="2"/>
      <c r="H50" s="2"/>
      <c r="I50"/>
      <c r="J50"/>
      <c r="K50"/>
      <c r="L50"/>
      <c r="M50"/>
      <c r="N50"/>
      <c r="O50"/>
      <c r="P50"/>
      <c r="Q50"/>
      <c r="R50"/>
      <c r="S50"/>
    </row>
    <row r="51" spans="1:19" s="5" customFormat="1" ht="13.75" customHeight="1" x14ac:dyDescent="0.15">
      <c r="A51" s="106"/>
      <c r="B51" s="2"/>
      <c r="C51" s="4"/>
      <c r="D51" s="4"/>
      <c r="E51" s="4"/>
      <c r="F51" s="4"/>
      <c r="G51" s="2"/>
      <c r="H51" s="2"/>
      <c r="I51"/>
      <c r="J51"/>
      <c r="K51"/>
      <c r="L51"/>
      <c r="M51"/>
      <c r="N51"/>
      <c r="O51"/>
      <c r="P51"/>
      <c r="Q51"/>
      <c r="R51"/>
      <c r="S51"/>
    </row>
    <row r="52" spans="1:19" s="5" customFormat="1" ht="13.75" customHeight="1" x14ac:dyDescent="0.15">
      <c r="B52" s="2"/>
      <c r="C52" s="4"/>
      <c r="D52" s="4"/>
      <c r="E52" s="4"/>
      <c r="F52" s="4"/>
      <c r="G52" s="2"/>
      <c r="H52" s="2"/>
      <c r="I52"/>
      <c r="J52"/>
      <c r="K52"/>
      <c r="L52"/>
      <c r="M52"/>
      <c r="N52"/>
      <c r="O52"/>
      <c r="P52"/>
      <c r="Q52"/>
      <c r="R52"/>
      <c r="S52"/>
    </row>
    <row r="53" spans="1:19" s="5" customFormat="1" ht="13.75" customHeight="1" x14ac:dyDescent="0.15">
      <c r="B53" s="2"/>
      <c r="C53" s="4"/>
      <c r="D53" s="4"/>
      <c r="E53" s="4"/>
      <c r="F53" s="4"/>
      <c r="G53" s="2"/>
      <c r="H53" s="2"/>
      <c r="I53"/>
      <c r="J53"/>
      <c r="K53"/>
      <c r="L53"/>
      <c r="M53"/>
      <c r="N53"/>
      <c r="O53"/>
      <c r="P53"/>
      <c r="Q53"/>
      <c r="R53"/>
      <c r="S53"/>
    </row>
    <row r="54" spans="1:19" s="5" customFormat="1" ht="13.75" customHeight="1" x14ac:dyDescent="0.15">
      <c r="B54" s="2"/>
      <c r="C54" s="4"/>
      <c r="D54" s="4"/>
      <c r="E54" s="4"/>
      <c r="F54" s="4"/>
      <c r="G54" s="2"/>
      <c r="H54" s="2"/>
      <c r="I54"/>
      <c r="J54"/>
      <c r="K54"/>
      <c r="L54"/>
      <c r="M54"/>
      <c r="N54"/>
      <c r="O54"/>
      <c r="P54"/>
      <c r="Q54"/>
      <c r="R54"/>
      <c r="S54"/>
    </row>
    <row r="55" spans="1:19" s="5" customFormat="1" ht="13.75" customHeight="1" x14ac:dyDescent="0.15">
      <c r="B55" s="2"/>
      <c r="C55" s="4"/>
      <c r="D55" s="4"/>
      <c r="E55" s="4"/>
      <c r="F55" s="4"/>
      <c r="G55" s="2"/>
      <c r="H55" s="2"/>
      <c r="I55"/>
      <c r="J55"/>
      <c r="K55"/>
      <c r="L55"/>
      <c r="M55"/>
      <c r="N55"/>
      <c r="O55"/>
      <c r="P55"/>
      <c r="Q55"/>
      <c r="R55"/>
      <c r="S55"/>
    </row>
    <row r="56" spans="1:19" s="6" customFormat="1" ht="13.75" customHeight="1" x14ac:dyDescent="0.15">
      <c r="B56" s="2"/>
      <c r="C56" s="4"/>
      <c r="D56" s="4"/>
      <c r="E56" s="4"/>
      <c r="F56" s="4"/>
      <c r="G56" s="2"/>
      <c r="H56" s="2"/>
      <c r="I56"/>
      <c r="J56"/>
      <c r="K56"/>
      <c r="L56"/>
      <c r="M56"/>
      <c r="N56"/>
      <c r="O56"/>
      <c r="P56"/>
      <c r="Q56"/>
      <c r="R56"/>
      <c r="S56"/>
    </row>
    <row r="65" spans="1:8" ht="13.75" customHeight="1" x14ac:dyDescent="0.15">
      <c r="A65" s="2"/>
      <c r="B65" s="4"/>
      <c r="D65" s="2"/>
      <c r="E65" s="2"/>
      <c r="F65" s="2"/>
      <c r="G65"/>
      <c r="H65"/>
    </row>
    <row r="66" spans="1:8" ht="13.75" customHeight="1" x14ac:dyDescent="0.15">
      <c r="A66" s="2"/>
      <c r="B66" s="4"/>
      <c r="D66" s="2"/>
      <c r="E66" s="2"/>
      <c r="F66" s="2"/>
      <c r="G66"/>
      <c r="H66"/>
    </row>
    <row r="67" spans="1:8" ht="13.75" customHeight="1" x14ac:dyDescent="0.15">
      <c r="A67" s="2"/>
      <c r="B67" s="4"/>
      <c r="D67" s="2"/>
      <c r="E67" s="2"/>
      <c r="F67" s="2"/>
      <c r="G67"/>
      <c r="H67"/>
    </row>
    <row r="68" spans="1:8" ht="13.75" customHeight="1" x14ac:dyDescent="0.15">
      <c r="A68" s="2"/>
      <c r="B68" s="4"/>
      <c r="D68" s="2"/>
      <c r="E68" s="2"/>
      <c r="F68" s="2"/>
      <c r="G68"/>
      <c r="H68"/>
    </row>
    <row r="69" spans="1:8" ht="13.75" customHeight="1" x14ac:dyDescent="0.15">
      <c r="A69" s="2"/>
      <c r="B69" s="4"/>
      <c r="D69" s="2"/>
      <c r="E69" s="2"/>
      <c r="F69" s="2"/>
      <c r="G69"/>
      <c r="H69"/>
    </row>
    <row r="70" spans="1:8" ht="13.75" customHeight="1" x14ac:dyDescent="0.15">
      <c r="A70" s="2"/>
      <c r="B70" s="4"/>
      <c r="D70" s="2"/>
      <c r="E70" s="2"/>
      <c r="F70" s="2"/>
      <c r="G70"/>
      <c r="H70"/>
    </row>
    <row r="71" spans="1:8" ht="13.75" customHeight="1" x14ac:dyDescent="0.15">
      <c r="A71" s="2"/>
      <c r="B71" s="4"/>
      <c r="D71" s="2"/>
      <c r="E71" s="2"/>
      <c r="F71" s="2"/>
      <c r="G71"/>
      <c r="H71"/>
    </row>
    <row r="72" spans="1:8" ht="13.75" customHeight="1" x14ac:dyDescent="0.15">
      <c r="A72" s="2"/>
      <c r="B72" s="4"/>
      <c r="D72" s="2"/>
      <c r="E72" s="2"/>
      <c r="F72" s="2"/>
      <c r="G72"/>
      <c r="H72"/>
    </row>
    <row r="73" spans="1:8" ht="13.75" customHeight="1" x14ac:dyDescent="0.15">
      <c r="A73" s="2"/>
      <c r="B73" s="4"/>
      <c r="D73" s="2"/>
      <c r="E73" s="2"/>
      <c r="F73" s="2"/>
      <c r="G73"/>
      <c r="H73"/>
    </row>
    <row r="74" spans="1:8" ht="13.75" customHeight="1" x14ac:dyDescent="0.15">
      <c r="A74" s="2"/>
      <c r="B74" s="4"/>
      <c r="D74" s="2"/>
      <c r="E74" s="2"/>
      <c r="F74" s="2"/>
      <c r="G74"/>
      <c r="H74"/>
    </row>
    <row r="75" spans="1:8" ht="13.75" customHeight="1" x14ac:dyDescent="0.15">
      <c r="A75" s="2"/>
      <c r="B75" s="4"/>
      <c r="D75" s="2"/>
      <c r="E75" s="2"/>
      <c r="F75" s="2"/>
      <c r="G75"/>
      <c r="H75"/>
    </row>
    <row r="76" spans="1:8" ht="13.75" customHeight="1" x14ac:dyDescent="0.15">
      <c r="A76" s="2"/>
      <c r="B76" s="4"/>
      <c r="D76" s="2"/>
      <c r="E76" s="2"/>
      <c r="F76" s="2"/>
      <c r="G76"/>
      <c r="H76"/>
    </row>
    <row r="77" spans="1:8" ht="13.75" customHeight="1" x14ac:dyDescent="0.15">
      <c r="A77" s="2"/>
      <c r="B77" s="4"/>
      <c r="D77" s="2"/>
      <c r="E77" s="2"/>
      <c r="F77" s="2"/>
      <c r="G77"/>
      <c r="H77"/>
    </row>
    <row r="78" spans="1:8" ht="13.75" customHeight="1" x14ac:dyDescent="0.15">
      <c r="A78" s="2"/>
      <c r="B78" s="4"/>
      <c r="D78" s="2"/>
      <c r="E78" s="2"/>
      <c r="F78" s="2"/>
      <c r="G78"/>
      <c r="H78"/>
    </row>
    <row r="79" spans="1:8" ht="13.75" customHeight="1" x14ac:dyDescent="0.15">
      <c r="A79" s="2"/>
      <c r="B79" s="4"/>
      <c r="D79" s="2"/>
      <c r="E79" s="2"/>
      <c r="F79" s="2"/>
      <c r="G79"/>
      <c r="H79"/>
    </row>
    <row r="80" spans="1:8" ht="13.75" customHeight="1" x14ac:dyDescent="0.15">
      <c r="A80" s="2"/>
      <c r="B80" s="4"/>
      <c r="D80" s="2"/>
      <c r="E80" s="2"/>
      <c r="F80" s="2"/>
      <c r="G80"/>
      <c r="H80"/>
    </row>
    <row r="81" spans="1:8" ht="13.75" customHeight="1" x14ac:dyDescent="0.15">
      <c r="A81" s="2"/>
      <c r="B81" s="4"/>
      <c r="D81" s="2"/>
      <c r="E81" s="2"/>
      <c r="F81" s="2"/>
      <c r="G81"/>
      <c r="H81"/>
    </row>
    <row r="82" spans="1:8" ht="13.75" customHeight="1" x14ac:dyDescent="0.15">
      <c r="A82" s="2"/>
      <c r="B82" s="4"/>
      <c r="D82" s="2"/>
      <c r="E82" s="2"/>
      <c r="F82" s="2"/>
      <c r="G82"/>
      <c r="H82"/>
    </row>
    <row r="83" spans="1:8" ht="13.75" customHeight="1" x14ac:dyDescent="0.15">
      <c r="A83" s="2"/>
      <c r="B83" s="4"/>
      <c r="D83" s="2"/>
      <c r="E83" s="2"/>
      <c r="F83" s="2"/>
      <c r="G83"/>
      <c r="H83"/>
    </row>
    <row r="84" spans="1:8" ht="13.75" customHeight="1" x14ac:dyDescent="0.15">
      <c r="A84" s="2"/>
      <c r="B84" s="4"/>
      <c r="D84" s="2"/>
      <c r="E84" s="2"/>
      <c r="F84" s="2"/>
      <c r="G84"/>
      <c r="H84"/>
    </row>
    <row r="85" spans="1:8" ht="13.75" customHeight="1" x14ac:dyDescent="0.15">
      <c r="A85" s="2"/>
      <c r="B85" s="4"/>
      <c r="D85" s="2"/>
      <c r="E85" s="2"/>
      <c r="F85" s="2"/>
      <c r="G85"/>
      <c r="H85"/>
    </row>
    <row r="86" spans="1:8" ht="13.75" customHeight="1" x14ac:dyDescent="0.15">
      <c r="A86" s="2"/>
      <c r="B86" s="4"/>
      <c r="D86" s="2"/>
      <c r="E86" s="2"/>
      <c r="F86" s="2"/>
      <c r="G86"/>
      <c r="H86"/>
    </row>
    <row r="87" spans="1:8" ht="13.75" customHeight="1" x14ac:dyDescent="0.15">
      <c r="A87" s="2"/>
      <c r="B87" s="4"/>
      <c r="D87" s="2"/>
      <c r="E87" s="2"/>
      <c r="F87" s="2"/>
      <c r="G87"/>
      <c r="H87"/>
    </row>
    <row r="88" spans="1:8" ht="13.75" customHeight="1" x14ac:dyDescent="0.15">
      <c r="A88" s="2"/>
      <c r="B88" s="4"/>
      <c r="D88" s="2"/>
      <c r="E88" s="2"/>
      <c r="F88" s="2"/>
      <c r="G88"/>
      <c r="H88"/>
    </row>
    <row r="89" spans="1:8" ht="13.75" customHeight="1" x14ac:dyDescent="0.15">
      <c r="A89" s="2"/>
      <c r="B89" s="4"/>
      <c r="D89" s="2"/>
      <c r="E89" s="2"/>
      <c r="F89" s="2"/>
      <c r="G89"/>
      <c r="H89"/>
    </row>
    <row r="90" spans="1:8" ht="13.75" customHeight="1" x14ac:dyDescent="0.15">
      <c r="A90" s="2"/>
      <c r="B90" s="4"/>
      <c r="D90" s="2"/>
      <c r="E90" s="2"/>
      <c r="F90" s="2"/>
      <c r="G90"/>
      <c r="H90"/>
    </row>
    <row r="91" spans="1:8" ht="13.75" customHeight="1" x14ac:dyDescent="0.15">
      <c r="A91" s="2"/>
      <c r="B91" s="4"/>
      <c r="D91" s="2"/>
      <c r="E91" s="2"/>
      <c r="F91" s="2"/>
      <c r="G91"/>
      <c r="H91"/>
    </row>
    <row r="92" spans="1:8" ht="13.75" customHeight="1" x14ac:dyDescent="0.15">
      <c r="A92" s="2"/>
      <c r="B92" s="4"/>
      <c r="D92" s="2"/>
      <c r="E92" s="2"/>
      <c r="F92" s="2"/>
      <c r="G92"/>
      <c r="H92"/>
    </row>
  </sheetData>
  <mergeCells count="6">
    <mergeCell ref="J26:Q26"/>
    <mergeCell ref="B26:I26"/>
    <mergeCell ref="R3:Y3"/>
    <mergeCell ref="A24:N25"/>
    <mergeCell ref="B3:I3"/>
    <mergeCell ref="J3:Q3"/>
  </mergeCells>
  <hyperlinks>
    <hyperlink ref="A1" location="Contents!A1" display="&lt;Back to contents&gt;"/>
  </hyperlinks>
  <pageMargins left="0.39370078740157483" right="0.39370078740157483" top="0.39370078740157483" bottom="0.39370078740157483" header="0" footer="0"/>
  <pageSetup paperSize="8" orientation="landscape"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rgb="FF92D050"/>
    <pageSetUpPr fitToPage="1"/>
  </sheetPr>
  <dimension ref="A1:P46"/>
  <sheetViews>
    <sheetView showGridLines="0" workbookViewId="0">
      <pane xSplit="1" ySplit="4" topLeftCell="B5" activePane="bottomRight" state="frozen"/>
      <selection pane="topRight" activeCell="B1" sqref="B1"/>
      <selection pane="bottomLeft" activeCell="A5" sqref="A5"/>
      <selection pane="bottomRight" activeCell="Q1" sqref="Q1:S1048576"/>
    </sheetView>
  </sheetViews>
  <sheetFormatPr baseColWidth="10" defaultColWidth="8.83203125" defaultRowHeight="13.75" customHeight="1" x14ac:dyDescent="0.15"/>
  <cols>
    <col min="1" max="1" width="37.83203125" style="1" customWidth="1"/>
    <col min="2" max="3" width="14.5" style="2" customWidth="1"/>
    <col min="4" max="4" width="14.5" style="4" customWidth="1"/>
    <col min="5" max="7" width="14.5" style="2" customWidth="1"/>
    <col min="8" max="8" width="14.5" style="4" customWidth="1"/>
    <col min="9" max="16" width="14.5" customWidth="1"/>
  </cols>
  <sheetData>
    <row r="1" spans="1:16" s="82" customFormat="1" ht="13.75" customHeight="1" x14ac:dyDescent="0.2">
      <c r="A1" s="80" t="s">
        <v>56</v>
      </c>
      <c r="B1" s="78"/>
      <c r="C1" s="78"/>
      <c r="D1" s="81"/>
      <c r="E1" s="78"/>
      <c r="F1" s="78"/>
      <c r="G1" s="78"/>
      <c r="H1" s="81"/>
    </row>
    <row r="2" spans="1:16" ht="13.75" customHeight="1" x14ac:dyDescent="0.25">
      <c r="A2" s="18" t="s">
        <v>204</v>
      </c>
      <c r="B2"/>
      <c r="C2"/>
      <c r="D2"/>
      <c r="E2"/>
      <c r="F2"/>
      <c r="G2"/>
      <c r="H2"/>
    </row>
    <row r="3" spans="1:16" s="17" customFormat="1" ht="15" x14ac:dyDescent="0.2">
      <c r="A3" s="19"/>
      <c r="B3" s="213" t="s">
        <v>76</v>
      </c>
      <c r="C3" s="213"/>
      <c r="D3" s="213"/>
      <c r="E3" s="213"/>
      <c r="F3" s="213"/>
      <c r="G3" s="213" t="s">
        <v>82</v>
      </c>
      <c r="H3" s="213"/>
      <c r="I3" s="213"/>
      <c r="J3" s="213"/>
      <c r="K3" s="213"/>
      <c r="L3" s="213" t="s">
        <v>83</v>
      </c>
      <c r="M3" s="213"/>
      <c r="N3" s="213"/>
      <c r="O3" s="213"/>
      <c r="P3" s="213"/>
    </row>
    <row r="4" spans="1:16" ht="15" x14ac:dyDescent="0.15">
      <c r="A4" s="35" t="s">
        <v>75</v>
      </c>
      <c r="B4" s="36" t="s">
        <v>99</v>
      </c>
      <c r="C4" s="36" t="s">
        <v>100</v>
      </c>
      <c r="D4" s="36" t="s">
        <v>60</v>
      </c>
      <c r="E4" s="36" t="s">
        <v>127</v>
      </c>
      <c r="F4" s="36" t="s">
        <v>61</v>
      </c>
      <c r="G4" s="36" t="s">
        <v>99</v>
      </c>
      <c r="H4" s="36" t="s">
        <v>100</v>
      </c>
      <c r="I4" s="36" t="s">
        <v>60</v>
      </c>
      <c r="J4" s="36" t="s">
        <v>127</v>
      </c>
      <c r="K4" s="36" t="s">
        <v>61</v>
      </c>
      <c r="L4" s="36" t="s">
        <v>99</v>
      </c>
      <c r="M4" s="36" t="s">
        <v>100</v>
      </c>
      <c r="N4" s="36" t="s">
        <v>60</v>
      </c>
      <c r="O4" s="36" t="s">
        <v>127</v>
      </c>
      <c r="P4" s="36" t="s">
        <v>61</v>
      </c>
    </row>
    <row r="5" spans="1:16" ht="14" x14ac:dyDescent="0.2">
      <c r="A5" s="25" t="s">
        <v>0</v>
      </c>
      <c r="B5" s="26">
        <v>5663</v>
      </c>
      <c r="C5" s="26">
        <v>5520</v>
      </c>
      <c r="D5" s="31">
        <f>C5/B5</f>
        <v>0.97474836659014652</v>
      </c>
      <c r="E5" s="26">
        <v>3926</v>
      </c>
      <c r="F5" s="31">
        <f>E5/C5</f>
        <v>0.711231884057971</v>
      </c>
      <c r="G5" s="26">
        <v>15889</v>
      </c>
      <c r="H5" s="26">
        <v>15550</v>
      </c>
      <c r="I5" s="31">
        <f>H5/G5</f>
        <v>0.97866448486374225</v>
      </c>
      <c r="J5" s="26">
        <v>11190</v>
      </c>
      <c r="K5" s="31">
        <f>J5/H5</f>
        <v>0.71961414790996781</v>
      </c>
      <c r="L5" s="26">
        <v>9966</v>
      </c>
      <c r="M5" s="26">
        <v>9765</v>
      </c>
      <c r="N5" s="31">
        <f>M5/L5</f>
        <v>0.97983142685129443</v>
      </c>
      <c r="O5" s="26">
        <v>7473</v>
      </c>
      <c r="P5" s="31">
        <f>O5/M5</f>
        <v>0.76528417818740402</v>
      </c>
    </row>
    <row r="6" spans="1:16" ht="14" x14ac:dyDescent="0.2">
      <c r="A6" s="25" t="s">
        <v>1</v>
      </c>
      <c r="B6" s="26">
        <v>2236</v>
      </c>
      <c r="C6" s="26">
        <v>1780</v>
      </c>
      <c r="D6" s="31">
        <f t="shared" ref="D6:D20" si="0">C6/B6</f>
        <v>0.7960644007155635</v>
      </c>
      <c r="E6" s="26">
        <v>1441</v>
      </c>
      <c r="F6" s="31">
        <f t="shared" ref="F6:F20" si="1">E6/C6</f>
        <v>0.80955056179775275</v>
      </c>
      <c r="G6" s="26">
        <v>5330</v>
      </c>
      <c r="H6" s="26">
        <v>4443</v>
      </c>
      <c r="I6" s="31">
        <f t="shared" ref="I6:I20" si="2">H6/G6</f>
        <v>0.83358348968105067</v>
      </c>
      <c r="J6" s="26">
        <v>3631</v>
      </c>
      <c r="K6" s="31">
        <f t="shared" ref="K6:K20" si="3">J6/H6</f>
        <v>0.81724060319603875</v>
      </c>
      <c r="L6" s="26">
        <v>2735</v>
      </c>
      <c r="M6" s="26">
        <v>2411</v>
      </c>
      <c r="N6" s="31">
        <f t="shared" ref="N6:N20" si="4">M6/L6</f>
        <v>0.88153564899451553</v>
      </c>
      <c r="O6" s="26">
        <v>1963</v>
      </c>
      <c r="P6" s="31">
        <f t="shared" ref="P6:P20" si="5">O6/M6</f>
        <v>0.81418498548320195</v>
      </c>
    </row>
    <row r="7" spans="1:16" ht="14" x14ac:dyDescent="0.2">
      <c r="A7" s="25" t="s">
        <v>2</v>
      </c>
      <c r="B7" s="26">
        <v>3865</v>
      </c>
      <c r="C7" s="26">
        <v>3123</v>
      </c>
      <c r="D7" s="31">
        <f t="shared" si="0"/>
        <v>0.80802069857697278</v>
      </c>
      <c r="E7" s="26">
        <v>2392</v>
      </c>
      <c r="F7" s="31">
        <f t="shared" si="1"/>
        <v>0.76593019532500806</v>
      </c>
      <c r="G7" s="26">
        <v>10010</v>
      </c>
      <c r="H7" s="26">
        <v>8445</v>
      </c>
      <c r="I7" s="31">
        <f t="shared" si="2"/>
        <v>0.84365634365634368</v>
      </c>
      <c r="J7" s="26">
        <v>6421</v>
      </c>
      <c r="K7" s="31">
        <f t="shared" si="3"/>
        <v>0.76033155713439904</v>
      </c>
      <c r="L7" s="26">
        <v>5410</v>
      </c>
      <c r="M7" s="26">
        <v>4814</v>
      </c>
      <c r="N7" s="31">
        <f t="shared" si="4"/>
        <v>0.88983364140480592</v>
      </c>
      <c r="O7" s="26">
        <v>3699</v>
      </c>
      <c r="P7" s="31">
        <f t="shared" si="5"/>
        <v>0.76838388034898208</v>
      </c>
    </row>
    <row r="8" spans="1:16" s="5" customFormat="1" ht="14" x14ac:dyDescent="0.2">
      <c r="A8" s="25" t="s">
        <v>3</v>
      </c>
      <c r="B8" s="26">
        <v>1500</v>
      </c>
      <c r="C8" s="26">
        <v>1018</v>
      </c>
      <c r="D8" s="31">
        <f t="shared" si="0"/>
        <v>0.67866666666666664</v>
      </c>
      <c r="E8" s="26">
        <v>778</v>
      </c>
      <c r="F8" s="31">
        <f t="shared" si="1"/>
        <v>0.76424361493123771</v>
      </c>
      <c r="G8" s="26">
        <v>4494</v>
      </c>
      <c r="H8" s="26">
        <v>3461</v>
      </c>
      <c r="I8" s="31">
        <f t="shared" si="2"/>
        <v>0.77013796172674676</v>
      </c>
      <c r="J8" s="26">
        <v>2682</v>
      </c>
      <c r="K8" s="31">
        <f t="shared" si="3"/>
        <v>0.77492054319560821</v>
      </c>
      <c r="L8" s="26">
        <v>3481</v>
      </c>
      <c r="M8" s="26">
        <v>2696</v>
      </c>
      <c r="N8" s="31">
        <f t="shared" si="4"/>
        <v>0.77449008905486927</v>
      </c>
      <c r="O8" s="26">
        <v>2111</v>
      </c>
      <c r="P8" s="31">
        <f t="shared" si="5"/>
        <v>0.78301186943620182</v>
      </c>
    </row>
    <row r="9" spans="1:16" s="5" customFormat="1" ht="14" x14ac:dyDescent="0.2">
      <c r="A9" s="25" t="s">
        <v>4</v>
      </c>
      <c r="B9" s="26">
        <v>1040</v>
      </c>
      <c r="C9" s="26">
        <v>927</v>
      </c>
      <c r="D9" s="31">
        <f t="shared" si="0"/>
        <v>0.8913461538461539</v>
      </c>
      <c r="E9" s="26">
        <v>643</v>
      </c>
      <c r="F9" s="31">
        <f t="shared" si="1"/>
        <v>0.69363538295577132</v>
      </c>
      <c r="G9" s="26">
        <v>2379</v>
      </c>
      <c r="H9" s="26">
        <v>2082</v>
      </c>
      <c r="I9" s="31">
        <f t="shared" si="2"/>
        <v>0.87515762925598994</v>
      </c>
      <c r="J9" s="26">
        <v>1399</v>
      </c>
      <c r="K9" s="31">
        <f t="shared" si="3"/>
        <v>0.67195004803073966</v>
      </c>
      <c r="L9" s="26">
        <v>1052</v>
      </c>
      <c r="M9" s="26">
        <v>996</v>
      </c>
      <c r="N9" s="31">
        <f t="shared" si="4"/>
        <v>0.94676806083650189</v>
      </c>
      <c r="O9" s="26">
        <v>668</v>
      </c>
      <c r="P9" s="31">
        <f t="shared" si="5"/>
        <v>0.67068273092369479</v>
      </c>
    </row>
    <row r="10" spans="1:16" s="5" customFormat="1" ht="14" x14ac:dyDescent="0.2">
      <c r="A10" s="25" t="s">
        <v>5</v>
      </c>
      <c r="B10" s="26">
        <v>19911</v>
      </c>
      <c r="C10" s="26">
        <v>14680</v>
      </c>
      <c r="D10" s="31">
        <f t="shared" si="0"/>
        <v>0.73728090000502233</v>
      </c>
      <c r="E10" s="26">
        <v>11316</v>
      </c>
      <c r="F10" s="31">
        <f t="shared" si="1"/>
        <v>0.77084468664850136</v>
      </c>
      <c r="G10" s="26">
        <v>47375</v>
      </c>
      <c r="H10" s="26">
        <v>35008</v>
      </c>
      <c r="I10" s="31">
        <f t="shared" si="2"/>
        <v>0.7389551451187335</v>
      </c>
      <c r="J10" s="26">
        <v>26780</v>
      </c>
      <c r="K10" s="31">
        <f t="shared" si="3"/>
        <v>0.76496800731261427</v>
      </c>
      <c r="L10" s="26">
        <v>21317</v>
      </c>
      <c r="M10" s="26">
        <v>14871</v>
      </c>
      <c r="N10" s="31">
        <f t="shared" si="4"/>
        <v>0.6976122343669372</v>
      </c>
      <c r="O10" s="26">
        <v>11300</v>
      </c>
      <c r="P10" s="31">
        <f t="shared" si="5"/>
        <v>0.75986819985206111</v>
      </c>
    </row>
    <row r="11" spans="1:16" s="5" customFormat="1" ht="14" x14ac:dyDescent="0.2">
      <c r="A11" s="30" t="s">
        <v>77</v>
      </c>
      <c r="B11" s="91">
        <v>1100</v>
      </c>
      <c r="C11" s="91">
        <v>314</v>
      </c>
      <c r="D11" s="133">
        <f t="shared" si="0"/>
        <v>0.28545454545454546</v>
      </c>
      <c r="E11" s="91">
        <v>270</v>
      </c>
      <c r="F11" s="133">
        <f t="shared" si="1"/>
        <v>0.85987261146496818</v>
      </c>
      <c r="G11" s="91">
        <v>3916</v>
      </c>
      <c r="H11" s="91">
        <v>991</v>
      </c>
      <c r="I11" s="133">
        <f t="shared" si="2"/>
        <v>0.25306435137895811</v>
      </c>
      <c r="J11" s="91">
        <v>830</v>
      </c>
      <c r="K11" s="133">
        <f t="shared" si="3"/>
        <v>0.83753784056508573</v>
      </c>
      <c r="L11" s="91">
        <v>3886</v>
      </c>
      <c r="M11" s="91">
        <v>888</v>
      </c>
      <c r="N11" s="133">
        <f t="shared" si="4"/>
        <v>0.2285126093669583</v>
      </c>
      <c r="O11" s="91">
        <v>764</v>
      </c>
      <c r="P11" s="133">
        <f t="shared" si="5"/>
        <v>0.86036036036036034</v>
      </c>
    </row>
    <row r="12" spans="1:16" s="5" customFormat="1" ht="14" x14ac:dyDescent="0.2">
      <c r="A12" s="30" t="s">
        <v>79</v>
      </c>
      <c r="B12" s="91">
        <v>416</v>
      </c>
      <c r="C12" s="91">
        <v>157</v>
      </c>
      <c r="D12" s="133">
        <f t="shared" si="0"/>
        <v>0.37740384615384615</v>
      </c>
      <c r="E12" s="91">
        <v>118</v>
      </c>
      <c r="F12" s="133">
        <f t="shared" si="1"/>
        <v>0.75159235668789814</v>
      </c>
      <c r="G12" s="91">
        <v>1045</v>
      </c>
      <c r="H12" s="91">
        <v>407</v>
      </c>
      <c r="I12" s="133">
        <f t="shared" si="2"/>
        <v>0.38947368421052631</v>
      </c>
      <c r="J12" s="91">
        <v>309</v>
      </c>
      <c r="K12" s="133">
        <f t="shared" si="3"/>
        <v>0.75921375921375922</v>
      </c>
      <c r="L12" s="91">
        <v>480</v>
      </c>
      <c r="M12" s="91">
        <v>199</v>
      </c>
      <c r="N12" s="133">
        <f t="shared" si="4"/>
        <v>0.41458333333333336</v>
      </c>
      <c r="O12" s="91">
        <v>136</v>
      </c>
      <c r="P12" s="133">
        <f t="shared" si="5"/>
        <v>0.68341708542713564</v>
      </c>
    </row>
    <row r="13" spans="1:16" s="5" customFormat="1" ht="14" x14ac:dyDescent="0.2">
      <c r="A13" s="30" t="s">
        <v>80</v>
      </c>
      <c r="B13" s="91">
        <v>409</v>
      </c>
      <c r="C13" s="91">
        <v>221</v>
      </c>
      <c r="D13" s="133">
        <f t="shared" si="0"/>
        <v>0.54034229828850855</v>
      </c>
      <c r="E13" s="91">
        <v>167</v>
      </c>
      <c r="F13" s="133">
        <f t="shared" si="1"/>
        <v>0.75565610859728505</v>
      </c>
      <c r="G13" s="91">
        <v>992</v>
      </c>
      <c r="H13" s="91">
        <v>552</v>
      </c>
      <c r="I13" s="133">
        <f t="shared" si="2"/>
        <v>0.55645161290322576</v>
      </c>
      <c r="J13" s="91">
        <v>407</v>
      </c>
      <c r="K13" s="133">
        <f t="shared" si="3"/>
        <v>0.7373188405797102</v>
      </c>
      <c r="L13" s="91">
        <v>535</v>
      </c>
      <c r="M13" s="91">
        <v>260</v>
      </c>
      <c r="N13" s="133">
        <f t="shared" si="4"/>
        <v>0.48598130841121495</v>
      </c>
      <c r="O13" s="91">
        <v>204</v>
      </c>
      <c r="P13" s="133">
        <f t="shared" si="5"/>
        <v>0.7846153846153846</v>
      </c>
    </row>
    <row r="14" spans="1:16" s="5" customFormat="1" ht="14" x14ac:dyDescent="0.2">
      <c r="A14" s="30" t="s">
        <v>78</v>
      </c>
      <c r="B14" s="91">
        <v>9584</v>
      </c>
      <c r="C14" s="91">
        <v>6921</v>
      </c>
      <c r="D14" s="133">
        <f t="shared" si="0"/>
        <v>0.72214106844741233</v>
      </c>
      <c r="E14" s="91">
        <v>5501</v>
      </c>
      <c r="F14" s="133">
        <f t="shared" si="1"/>
        <v>0.79482733709001585</v>
      </c>
      <c r="G14" s="91">
        <v>19796</v>
      </c>
      <c r="H14" s="91">
        <v>14580</v>
      </c>
      <c r="I14" s="133">
        <f t="shared" si="2"/>
        <v>0.73651242675287942</v>
      </c>
      <c r="J14" s="91">
        <v>11500</v>
      </c>
      <c r="K14" s="133">
        <f t="shared" si="3"/>
        <v>0.7887517146776406</v>
      </c>
      <c r="L14" s="91">
        <v>6085</v>
      </c>
      <c r="M14" s="91">
        <v>4563</v>
      </c>
      <c r="N14" s="133">
        <f t="shared" si="4"/>
        <v>0.74987674609695976</v>
      </c>
      <c r="O14" s="91">
        <v>3428</v>
      </c>
      <c r="P14" s="133">
        <f t="shared" si="5"/>
        <v>0.75126013587552054</v>
      </c>
    </row>
    <row r="15" spans="1:16" s="5" customFormat="1" ht="14" x14ac:dyDescent="0.2">
      <c r="A15" s="30" t="s">
        <v>84</v>
      </c>
      <c r="B15" s="91">
        <v>8402</v>
      </c>
      <c r="C15" s="91">
        <v>7067</v>
      </c>
      <c r="D15" s="133">
        <f t="shared" si="0"/>
        <v>0.84110925970007144</v>
      </c>
      <c r="E15" s="91">
        <v>5260</v>
      </c>
      <c r="F15" s="133">
        <f t="shared" si="1"/>
        <v>0.74430451393802177</v>
      </c>
      <c r="G15" s="91">
        <v>21626</v>
      </c>
      <c r="H15" s="91">
        <v>18478</v>
      </c>
      <c r="I15" s="133">
        <f t="shared" si="2"/>
        <v>0.8544344770184038</v>
      </c>
      <c r="J15" s="91">
        <v>13734</v>
      </c>
      <c r="K15" s="133">
        <f t="shared" si="3"/>
        <v>0.74326225782011035</v>
      </c>
      <c r="L15" s="91">
        <v>10331</v>
      </c>
      <c r="M15" s="91">
        <v>8961</v>
      </c>
      <c r="N15" s="133">
        <f t="shared" si="4"/>
        <v>0.8673894105120511</v>
      </c>
      <c r="O15" s="91">
        <v>6768</v>
      </c>
      <c r="P15" s="133">
        <f t="shared" si="5"/>
        <v>0.755272849012387</v>
      </c>
    </row>
    <row r="16" spans="1:16" s="5" customFormat="1" ht="14" x14ac:dyDescent="0.2">
      <c r="A16" s="25" t="s">
        <v>6</v>
      </c>
      <c r="B16" s="26">
        <v>7575</v>
      </c>
      <c r="C16" s="26">
        <v>6142</v>
      </c>
      <c r="D16" s="31">
        <f t="shared" si="0"/>
        <v>0.81082508250825081</v>
      </c>
      <c r="E16" s="26">
        <v>4806</v>
      </c>
      <c r="F16" s="31">
        <f t="shared" si="1"/>
        <v>0.78248127645718002</v>
      </c>
      <c r="G16" s="26">
        <v>16289</v>
      </c>
      <c r="H16" s="26">
        <v>13565</v>
      </c>
      <c r="I16" s="31">
        <f t="shared" si="2"/>
        <v>0.83277058137393334</v>
      </c>
      <c r="J16" s="26">
        <v>10597</v>
      </c>
      <c r="K16" s="31">
        <f t="shared" si="3"/>
        <v>0.7812016218208625</v>
      </c>
      <c r="L16" s="26">
        <v>5045</v>
      </c>
      <c r="M16" s="26">
        <v>4297</v>
      </c>
      <c r="N16" s="31">
        <f t="shared" si="4"/>
        <v>0.85173439048562938</v>
      </c>
      <c r="O16" s="26">
        <v>3199</v>
      </c>
      <c r="P16" s="31">
        <f t="shared" si="5"/>
        <v>0.74447288806143819</v>
      </c>
    </row>
    <row r="17" spans="1:16" s="5" customFormat="1" ht="14" x14ac:dyDescent="0.2">
      <c r="A17" s="25" t="s">
        <v>7</v>
      </c>
      <c r="B17" s="26">
        <v>7586</v>
      </c>
      <c r="C17" s="26">
        <v>6596</v>
      </c>
      <c r="D17" s="31">
        <f t="shared" si="0"/>
        <v>0.86949644081202215</v>
      </c>
      <c r="E17" s="26">
        <v>5141</v>
      </c>
      <c r="F17" s="31">
        <f t="shared" si="1"/>
        <v>0.77941176470588236</v>
      </c>
      <c r="G17" s="26">
        <v>20716</v>
      </c>
      <c r="H17" s="26">
        <v>18477</v>
      </c>
      <c r="I17" s="31">
        <f t="shared" si="2"/>
        <v>0.89191928943811549</v>
      </c>
      <c r="J17" s="26">
        <v>14584</v>
      </c>
      <c r="K17" s="31">
        <f t="shared" si="3"/>
        <v>0.78930562320723063</v>
      </c>
      <c r="L17" s="26">
        <v>14753</v>
      </c>
      <c r="M17" s="26">
        <v>13199</v>
      </c>
      <c r="N17" s="31">
        <f t="shared" si="4"/>
        <v>0.89466549176438692</v>
      </c>
      <c r="O17" s="26">
        <v>10479</v>
      </c>
      <c r="P17" s="31">
        <f t="shared" si="5"/>
        <v>0.79392378210470493</v>
      </c>
    </row>
    <row r="18" spans="1:16" s="5" customFormat="1" ht="14" x14ac:dyDescent="0.2">
      <c r="A18" s="25" t="s">
        <v>8</v>
      </c>
      <c r="B18" s="26">
        <v>14998</v>
      </c>
      <c r="C18" s="26">
        <v>12766</v>
      </c>
      <c r="D18" s="31">
        <f t="shared" si="0"/>
        <v>0.85118015735431396</v>
      </c>
      <c r="E18" s="26">
        <v>9838</v>
      </c>
      <c r="F18" s="31">
        <f t="shared" si="1"/>
        <v>0.77064076453078489</v>
      </c>
      <c r="G18" s="26">
        <v>37956</v>
      </c>
      <c r="H18" s="26">
        <v>32784</v>
      </c>
      <c r="I18" s="31">
        <f t="shared" si="2"/>
        <v>0.86373695858362309</v>
      </c>
      <c r="J18" s="26">
        <v>25216</v>
      </c>
      <c r="K18" s="31">
        <f t="shared" si="3"/>
        <v>0.76915568570034165</v>
      </c>
      <c r="L18" s="26">
        <v>23550</v>
      </c>
      <c r="M18" s="26">
        <v>20138</v>
      </c>
      <c r="N18" s="31">
        <f t="shared" si="4"/>
        <v>0.85511677282377918</v>
      </c>
      <c r="O18" s="26">
        <v>15508</v>
      </c>
      <c r="P18" s="31">
        <f t="shared" si="5"/>
        <v>0.77008640381368554</v>
      </c>
    </row>
    <row r="19" spans="1:16" s="5" customFormat="1" ht="14" x14ac:dyDescent="0.2">
      <c r="A19" s="25" t="s">
        <v>9</v>
      </c>
      <c r="B19" s="26">
        <v>4515</v>
      </c>
      <c r="C19" s="26">
        <v>3501</v>
      </c>
      <c r="D19" s="31">
        <f t="shared" si="0"/>
        <v>0.77541528239202662</v>
      </c>
      <c r="E19" s="26">
        <v>2728</v>
      </c>
      <c r="F19" s="31">
        <f t="shared" si="1"/>
        <v>0.77920594115966868</v>
      </c>
      <c r="G19" s="26">
        <v>14025</v>
      </c>
      <c r="H19" s="26">
        <v>10959</v>
      </c>
      <c r="I19" s="31">
        <f t="shared" si="2"/>
        <v>0.78139037433155079</v>
      </c>
      <c r="J19" s="26">
        <v>8436</v>
      </c>
      <c r="K19" s="31">
        <f t="shared" si="3"/>
        <v>0.76977826444018616</v>
      </c>
      <c r="L19" s="26">
        <v>9997</v>
      </c>
      <c r="M19" s="26">
        <v>7874</v>
      </c>
      <c r="N19" s="31">
        <f t="shared" si="4"/>
        <v>0.78763629088726617</v>
      </c>
      <c r="O19" s="26">
        <v>6219</v>
      </c>
      <c r="P19" s="31">
        <f t="shared" si="5"/>
        <v>0.78981457962915924</v>
      </c>
    </row>
    <row r="20" spans="1:16" s="5" customFormat="1" ht="14" x14ac:dyDescent="0.2">
      <c r="A20" s="37" t="s">
        <v>81</v>
      </c>
      <c r="B20" s="92">
        <v>69065</v>
      </c>
      <c r="C20" s="92">
        <v>56199</v>
      </c>
      <c r="D20" s="50">
        <f t="shared" si="0"/>
        <v>0.81371172084268439</v>
      </c>
      <c r="E20" s="92">
        <v>43116</v>
      </c>
      <c r="F20" s="50">
        <f t="shared" si="1"/>
        <v>0.76720226338546949</v>
      </c>
      <c r="G20" s="92">
        <v>174915</v>
      </c>
      <c r="H20" s="92">
        <v>145191</v>
      </c>
      <c r="I20" s="50">
        <f t="shared" si="2"/>
        <v>0.83006603207272101</v>
      </c>
      <c r="J20" s="92">
        <v>111232</v>
      </c>
      <c r="K20" s="50">
        <f t="shared" si="3"/>
        <v>0.76610809209937258</v>
      </c>
      <c r="L20" s="92">
        <v>98054</v>
      </c>
      <c r="M20" s="92">
        <v>81730</v>
      </c>
      <c r="N20" s="50">
        <f t="shared" si="4"/>
        <v>0.83352030513798514</v>
      </c>
      <c r="O20" s="92">
        <v>63093</v>
      </c>
      <c r="P20" s="50">
        <f t="shared" si="5"/>
        <v>0.77196867735225738</v>
      </c>
    </row>
    <row r="21" spans="1:16" s="5" customFormat="1" ht="13.75" customHeight="1" x14ac:dyDescent="0.2">
      <c r="A21" s="56"/>
      <c r="B21" s="40" t="s">
        <v>125</v>
      </c>
    </row>
    <row r="22" spans="1:16" s="5" customFormat="1" ht="13.75" customHeight="1" x14ac:dyDescent="0.15">
      <c r="B22" s="86" t="s">
        <v>128</v>
      </c>
    </row>
    <row r="23" spans="1:16" s="5" customFormat="1" ht="13.75" customHeight="1" x14ac:dyDescent="0.15">
      <c r="B23" s="86" t="s">
        <v>126</v>
      </c>
    </row>
    <row r="24" spans="1:16" s="5" customFormat="1" ht="13.75" customHeight="1" x14ac:dyDescent="0.15">
      <c r="B24" s="86" t="s">
        <v>131</v>
      </c>
    </row>
    <row r="25" spans="1:16" s="5" customFormat="1" ht="13.75" customHeight="1" x14ac:dyDescent="0.15">
      <c r="B25" s="40" t="s">
        <v>173</v>
      </c>
    </row>
    <row r="26" spans="1:16" s="5" customFormat="1" ht="13.75" customHeight="1" x14ac:dyDescent="0.15">
      <c r="B26" s="104"/>
    </row>
    <row r="27" spans="1:16" s="5" customFormat="1" ht="13.75" customHeight="1" x14ac:dyDescent="0.15">
      <c r="B27" s="161"/>
      <c r="C27" s="142"/>
      <c r="D27" s="142"/>
      <c r="E27" s="142"/>
    </row>
    <row r="28" spans="1:16" s="5" customFormat="1" ht="13.75" customHeight="1" x14ac:dyDescent="0.15">
      <c r="B28" s="188"/>
      <c r="C28" s="143"/>
      <c r="D28" s="138"/>
      <c r="E28" s="138"/>
      <c r="F28" s="140"/>
      <c r="G28" s="140"/>
    </row>
    <row r="29" spans="1:16" s="5" customFormat="1" ht="13.75" customHeight="1" x14ac:dyDescent="0.15">
      <c r="B29" s="161"/>
      <c r="C29" s="143"/>
      <c r="D29" s="143"/>
      <c r="E29" s="143"/>
      <c r="H29" s="174" t="s">
        <v>172</v>
      </c>
    </row>
    <row r="30" spans="1:16" s="5" customFormat="1" ht="13.75" customHeight="1" x14ac:dyDescent="0.15">
      <c r="A30" s="158"/>
      <c r="B30" s="161"/>
      <c r="C30" s="143"/>
      <c r="D30" s="143"/>
      <c r="E30" s="143"/>
      <c r="F30" s="2"/>
      <c r="G30" s="2"/>
      <c r="H30" s="151"/>
      <c r="I30" s="152"/>
      <c r="K30" s="152"/>
    </row>
    <row r="31" spans="1:16" s="5" customFormat="1" ht="13.75" customHeight="1" x14ac:dyDescent="0.15">
      <c r="A31" s="158"/>
      <c r="B31" s="161"/>
      <c r="C31" s="143"/>
      <c r="D31" s="143"/>
      <c r="E31" s="143"/>
      <c r="F31" s="2"/>
      <c r="G31" s="2"/>
      <c r="H31" s="151"/>
      <c r="I31" s="152"/>
      <c r="K31" s="152"/>
    </row>
    <row r="32" spans="1:16" s="5" customFormat="1" ht="13.75" customHeight="1" x14ac:dyDescent="0.15">
      <c r="A32" s="158"/>
      <c r="B32" s="161"/>
      <c r="C32" s="143"/>
      <c r="D32" s="143"/>
      <c r="E32" s="143"/>
      <c r="F32" s="2"/>
      <c r="G32" s="2"/>
      <c r="H32" s="151"/>
      <c r="I32" s="152"/>
      <c r="K32" s="152"/>
    </row>
    <row r="33" spans="1:11" s="5" customFormat="1" ht="13.75" customHeight="1" x14ac:dyDescent="0.15">
      <c r="A33" s="158"/>
      <c r="B33" s="159"/>
      <c r="F33" s="2"/>
      <c r="G33" s="2"/>
      <c r="K33" s="152"/>
    </row>
    <row r="34" spans="1:11" s="5" customFormat="1" ht="13.75" customHeight="1" x14ac:dyDescent="0.15">
      <c r="A34" s="158"/>
      <c r="B34" s="159"/>
      <c r="F34" s="2"/>
      <c r="G34" s="2"/>
      <c r="H34" s="151"/>
      <c r="I34" s="152"/>
      <c r="K34" s="152"/>
    </row>
    <row r="35" spans="1:11" s="5" customFormat="1" ht="13.75" customHeight="1" x14ac:dyDescent="0.15">
      <c r="A35" s="158"/>
      <c r="B35" s="159"/>
      <c r="F35" s="2"/>
      <c r="G35" s="2"/>
      <c r="H35" s="151"/>
      <c r="I35" s="152"/>
      <c r="K35" s="152"/>
    </row>
    <row r="36" spans="1:11" s="5" customFormat="1" ht="13.75" customHeight="1" x14ac:dyDescent="0.15">
      <c r="A36" s="158"/>
      <c r="B36" s="159"/>
      <c r="F36" s="2"/>
      <c r="G36" s="2"/>
      <c r="H36" s="151"/>
      <c r="I36" s="152"/>
      <c r="K36" s="152"/>
    </row>
    <row r="37" spans="1:11" s="6" customFormat="1" ht="13.75" customHeight="1" x14ac:dyDescent="0.15">
      <c r="A37" s="158"/>
      <c r="B37" s="159"/>
      <c r="C37" s="5"/>
      <c r="D37" s="5"/>
      <c r="E37" s="5"/>
      <c r="F37" s="2"/>
      <c r="G37" s="2"/>
      <c r="H37" s="151"/>
      <c r="I37" s="153"/>
      <c r="K37" s="153"/>
    </row>
    <row r="38" spans="1:11" ht="13.75" customHeight="1" x14ac:dyDescent="0.15">
      <c r="A38" s="158"/>
      <c r="B38" s="161"/>
      <c r="C38" s="143"/>
      <c r="D38" s="143"/>
      <c r="E38" s="143"/>
      <c r="H38" s="151"/>
      <c r="I38" s="154"/>
      <c r="K38" s="154"/>
    </row>
    <row r="39" spans="1:11" ht="13.75" customHeight="1" x14ac:dyDescent="0.15">
      <c r="A39" s="158"/>
      <c r="B39" s="161"/>
      <c r="C39" s="143"/>
      <c r="D39" s="143"/>
      <c r="E39" s="143"/>
      <c r="H39" s="151"/>
      <c r="I39" s="154"/>
      <c r="K39" s="154"/>
    </row>
    <row r="40" spans="1:11" ht="13.75" customHeight="1" x14ac:dyDescent="0.15">
      <c r="A40" s="158"/>
      <c r="B40" s="161"/>
      <c r="C40" s="143"/>
      <c r="D40" s="143"/>
      <c r="E40" s="143"/>
      <c r="H40" s="151"/>
      <c r="I40" s="154"/>
      <c r="K40" s="154"/>
    </row>
    <row r="41" spans="1:11" ht="13.75" customHeight="1" x14ac:dyDescent="0.15">
      <c r="A41" s="158"/>
      <c r="B41" s="161"/>
      <c r="C41" s="143"/>
      <c r="D41" s="143"/>
      <c r="E41" s="143"/>
      <c r="H41" s="151"/>
      <c r="I41" s="154"/>
      <c r="K41" s="154"/>
    </row>
    <row r="42" spans="1:11" ht="13.75" customHeight="1" x14ac:dyDescent="0.15">
      <c r="B42" s="141"/>
      <c r="C42" s="140"/>
      <c r="D42" s="138"/>
      <c r="E42" s="138"/>
      <c r="H42" s="151"/>
      <c r="I42" s="154"/>
      <c r="K42" s="154"/>
    </row>
    <row r="43" spans="1:11" ht="13.75" customHeight="1" x14ac:dyDescent="0.15">
      <c r="B43" s="141"/>
      <c r="C43" s="138"/>
      <c r="D43" s="138"/>
      <c r="E43" s="138"/>
      <c r="H43" s="151"/>
      <c r="I43" s="154"/>
      <c r="K43" s="154"/>
    </row>
    <row r="44" spans="1:11" ht="13.75" customHeight="1" x14ac:dyDescent="0.15">
      <c r="B44" s="159"/>
      <c r="C44" s="140"/>
      <c r="D44" s="140"/>
      <c r="E44" s="140"/>
      <c r="H44" s="151"/>
      <c r="I44" s="154"/>
      <c r="K44" s="154"/>
    </row>
    <row r="45" spans="1:11" ht="13.75" customHeight="1" x14ac:dyDescent="0.2">
      <c r="B45" s="5"/>
      <c r="C45" s="160"/>
      <c r="D45" s="160"/>
      <c r="E45" s="160"/>
      <c r="H45" s="151"/>
      <c r="I45" s="154"/>
      <c r="K45" s="154"/>
    </row>
    <row r="46" spans="1:11" ht="13.75" customHeight="1" x14ac:dyDescent="0.15">
      <c r="H46" s="151"/>
    </row>
  </sheetData>
  <mergeCells count="3">
    <mergeCell ref="B3:F3"/>
    <mergeCell ref="G3:K3"/>
    <mergeCell ref="L3:P3"/>
  </mergeCells>
  <phoneticPr fontId="5" type="noConversion"/>
  <hyperlinks>
    <hyperlink ref="A1" location="Contents!A1" display="&lt;Back to contents&gt;"/>
  </hyperlinks>
  <pageMargins left="0.39370078740157483" right="0.39370078740157483" top="0.39370078740157483" bottom="0.39370078740157483" header="0" footer="0"/>
  <pageSetup paperSize="8" orientation="landscape"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92D050"/>
    <pageSetUpPr fitToPage="1"/>
  </sheetPr>
  <dimension ref="A1:Q26"/>
  <sheetViews>
    <sheetView showGridLines="0" workbookViewId="0">
      <pane xSplit="1" ySplit="4" topLeftCell="B5" activePane="bottomRight" state="frozen"/>
      <selection pane="topRight" activeCell="B1" sqref="B1"/>
      <selection pane="bottomLeft" activeCell="A5" sqref="A5"/>
      <selection pane="bottomRight" activeCell="G24" sqref="G24"/>
    </sheetView>
  </sheetViews>
  <sheetFormatPr baseColWidth="10" defaultColWidth="8.83203125" defaultRowHeight="13" x14ac:dyDescent="0.15"/>
  <cols>
    <col min="1" max="1" width="38.83203125" style="1" customWidth="1"/>
    <col min="2" max="3" width="16.5" style="2" customWidth="1"/>
    <col min="4" max="4" width="16.5" style="4" customWidth="1"/>
    <col min="5" max="7" width="16.5" style="2" customWidth="1"/>
    <col min="8" max="8" width="16.5" style="4" customWidth="1"/>
    <col min="9" max="11" width="16.5" style="2" customWidth="1"/>
    <col min="12" max="17" width="9.1640625" style="2" customWidth="1"/>
  </cols>
  <sheetData>
    <row r="1" spans="1:17" s="82" customFormat="1" ht="14" x14ac:dyDescent="0.2">
      <c r="A1" s="99" t="s">
        <v>56</v>
      </c>
      <c r="B1" s="78"/>
      <c r="C1" s="78"/>
      <c r="D1" s="81"/>
      <c r="E1" s="78"/>
      <c r="F1" s="78"/>
      <c r="G1" s="78"/>
      <c r="H1" s="81"/>
      <c r="I1" s="78"/>
      <c r="J1" s="78"/>
      <c r="K1" s="78"/>
      <c r="L1" s="78"/>
      <c r="M1" s="78"/>
      <c r="N1" s="78"/>
      <c r="O1" s="78"/>
      <c r="P1" s="78"/>
      <c r="Q1" s="78"/>
    </row>
    <row r="2" spans="1:17" ht="19" x14ac:dyDescent="0.25">
      <c r="A2" s="18" t="s">
        <v>195</v>
      </c>
      <c r="B2"/>
      <c r="C2"/>
      <c r="D2"/>
      <c r="E2"/>
      <c r="F2"/>
      <c r="G2"/>
      <c r="H2"/>
      <c r="I2"/>
      <c r="J2"/>
      <c r="K2"/>
    </row>
    <row r="3" spans="1:17" ht="15" x14ac:dyDescent="0.2">
      <c r="A3" s="19"/>
      <c r="B3" s="213" t="s">
        <v>85</v>
      </c>
      <c r="C3" s="213"/>
      <c r="D3" s="213"/>
      <c r="E3" s="213"/>
      <c r="F3" s="213"/>
      <c r="G3" s="213" t="s">
        <v>86</v>
      </c>
      <c r="H3" s="213"/>
      <c r="I3" s="213"/>
      <c r="J3" s="213"/>
      <c r="K3" s="213"/>
    </row>
    <row r="4" spans="1:17" ht="15" x14ac:dyDescent="0.2">
      <c r="A4" s="21" t="s">
        <v>75</v>
      </c>
      <c r="B4" s="36" t="s">
        <v>99</v>
      </c>
      <c r="C4" s="36" t="s">
        <v>100</v>
      </c>
      <c r="D4" s="36" t="s">
        <v>60</v>
      </c>
      <c r="E4" s="36" t="s">
        <v>127</v>
      </c>
      <c r="F4" s="36" t="s">
        <v>61</v>
      </c>
      <c r="G4" s="36" t="s">
        <v>99</v>
      </c>
      <c r="H4" s="36" t="s">
        <v>100</v>
      </c>
      <c r="I4" s="36" t="s">
        <v>60</v>
      </c>
      <c r="J4" s="36" t="s">
        <v>127</v>
      </c>
      <c r="K4" s="36" t="s">
        <v>61</v>
      </c>
      <c r="L4"/>
      <c r="M4"/>
      <c r="N4"/>
      <c r="O4"/>
      <c r="P4"/>
      <c r="Q4"/>
    </row>
    <row r="5" spans="1:17" ht="14" x14ac:dyDescent="0.2">
      <c r="A5" s="25" t="s">
        <v>0</v>
      </c>
      <c r="B5" s="26">
        <v>25186.83</v>
      </c>
      <c r="C5" s="26">
        <v>24352.68</v>
      </c>
      <c r="D5" s="31">
        <f>C5/B5</f>
        <v>0.96688150116548999</v>
      </c>
      <c r="E5" s="26">
        <v>18318.669999999998</v>
      </c>
      <c r="F5" s="31">
        <f>E5/C5</f>
        <v>0.75222398520409239</v>
      </c>
      <c r="G5" s="26">
        <v>6373.1732000000002</v>
      </c>
      <c r="H5" s="26">
        <v>6518.3184000000001</v>
      </c>
      <c r="I5" s="31">
        <f>H5/G5</f>
        <v>1.022774400670611</v>
      </c>
      <c r="J5" s="26">
        <v>4296.3297000000002</v>
      </c>
      <c r="K5" s="31">
        <f>J5/H5</f>
        <v>0.65911626839216697</v>
      </c>
      <c r="L5"/>
      <c r="M5" s="49"/>
      <c r="N5"/>
      <c r="O5"/>
      <c r="P5"/>
      <c r="Q5"/>
    </row>
    <row r="6" spans="1:17" ht="14" x14ac:dyDescent="0.2">
      <c r="A6" s="25" t="s">
        <v>1</v>
      </c>
      <c r="B6" s="26">
        <v>8329.8089999999993</v>
      </c>
      <c r="C6" s="26">
        <v>7011.7690000000002</v>
      </c>
      <c r="D6" s="31">
        <f t="shared" ref="D6:D20" si="0">C6/B6</f>
        <v>0.84176828064124887</v>
      </c>
      <c r="E6" s="26">
        <v>5779.0770000000002</v>
      </c>
      <c r="F6" s="31">
        <f t="shared" ref="F6:F20" si="1">E6/C6</f>
        <v>0.82419671840301645</v>
      </c>
      <c r="G6" s="26">
        <v>1982.1917799999999</v>
      </c>
      <c r="H6" s="26">
        <v>1630.2303899999999</v>
      </c>
      <c r="I6" s="31">
        <f t="shared" ref="I6:I20" si="2">H6/G6</f>
        <v>0.82243827587661578</v>
      </c>
      <c r="J6" s="26">
        <v>1261.9228499999999</v>
      </c>
      <c r="K6" s="31">
        <f t="shared" ref="K6:K20" si="3">J6/H6</f>
        <v>0.7740763868351147</v>
      </c>
      <c r="L6"/>
      <c r="M6"/>
      <c r="N6"/>
      <c r="O6"/>
      <c r="P6"/>
      <c r="Q6"/>
    </row>
    <row r="7" spans="1:17" ht="14" x14ac:dyDescent="0.2">
      <c r="A7" s="25" t="s">
        <v>2</v>
      </c>
      <c r="B7" s="26">
        <v>15228.72</v>
      </c>
      <c r="C7" s="26">
        <v>12937.97</v>
      </c>
      <c r="D7" s="31">
        <f t="shared" si="0"/>
        <v>0.84957698348909161</v>
      </c>
      <c r="E7" s="26">
        <v>9926.5300000000007</v>
      </c>
      <c r="F7" s="31">
        <f t="shared" si="1"/>
        <v>0.76724014663815121</v>
      </c>
      <c r="G7" s="26">
        <v>4079.2802000000001</v>
      </c>
      <c r="H7" s="26">
        <v>3461.0304000000001</v>
      </c>
      <c r="I7" s="31">
        <f t="shared" si="2"/>
        <v>0.84844144807704069</v>
      </c>
      <c r="J7" s="26">
        <v>2599.4699000000001</v>
      </c>
      <c r="K7" s="31">
        <f t="shared" si="3"/>
        <v>0.75106820789554463</v>
      </c>
      <c r="L7"/>
      <c r="M7"/>
      <c r="N7"/>
      <c r="O7"/>
      <c r="P7"/>
      <c r="Q7"/>
    </row>
    <row r="8" spans="1:17" s="5" customFormat="1" ht="14" x14ac:dyDescent="0.2">
      <c r="A8" s="25" t="s">
        <v>3</v>
      </c>
      <c r="B8" s="26">
        <v>8134.4629999999997</v>
      </c>
      <c r="C8" s="26">
        <v>6133.3209999999999</v>
      </c>
      <c r="D8" s="31">
        <f t="shared" si="0"/>
        <v>0.75399211970107927</v>
      </c>
      <c r="E8" s="26">
        <v>4901.6090000000004</v>
      </c>
      <c r="F8" s="31">
        <f t="shared" si="1"/>
        <v>0.79917698747546406</v>
      </c>
      <c r="G8" s="26">
        <v>1347.53648</v>
      </c>
      <c r="H8" s="26">
        <v>1048.67812</v>
      </c>
      <c r="I8" s="31">
        <f t="shared" si="2"/>
        <v>0.77821872399328296</v>
      </c>
      <c r="J8" s="26">
        <v>675.39058</v>
      </c>
      <c r="K8" s="31">
        <f t="shared" si="3"/>
        <v>0.64403992714180014</v>
      </c>
    </row>
    <row r="9" spans="1:17" s="5" customFormat="1" ht="14" x14ac:dyDescent="0.2">
      <c r="A9" s="25" t="s">
        <v>4</v>
      </c>
      <c r="B9" s="26">
        <v>2492.6979999999999</v>
      </c>
      <c r="C9" s="26">
        <v>2237.94</v>
      </c>
      <c r="D9" s="31">
        <f t="shared" si="0"/>
        <v>0.89779828924322169</v>
      </c>
      <c r="E9" s="26">
        <v>1584.2529999999999</v>
      </c>
      <c r="F9" s="31">
        <f t="shared" si="1"/>
        <v>0.70790682502658686</v>
      </c>
      <c r="G9" s="26">
        <v>2003.3024</v>
      </c>
      <c r="H9" s="26">
        <v>1791.0599</v>
      </c>
      <c r="I9" s="31">
        <f t="shared" si="2"/>
        <v>0.8940536885494671</v>
      </c>
      <c r="J9" s="26">
        <v>1144.7477199999998</v>
      </c>
      <c r="K9" s="31">
        <f t="shared" si="3"/>
        <v>0.63914541328293928</v>
      </c>
    </row>
    <row r="10" spans="1:17" s="5" customFormat="1" ht="14" x14ac:dyDescent="0.2">
      <c r="A10" s="25" t="s">
        <v>5</v>
      </c>
      <c r="B10" s="26">
        <v>64792.124000000003</v>
      </c>
      <c r="C10" s="26">
        <v>45636.663800000002</v>
      </c>
      <c r="D10" s="31">
        <f t="shared" si="0"/>
        <v>0.70435511266770634</v>
      </c>
      <c r="E10" s="88">
        <v>35510.7929</v>
      </c>
      <c r="F10" s="31">
        <f t="shared" si="1"/>
        <v>0.77811982610350228</v>
      </c>
      <c r="G10" s="26">
        <v>23940.875650000002</v>
      </c>
      <c r="H10" s="88">
        <v>19015.338304000001</v>
      </c>
      <c r="I10" s="31">
        <f t="shared" si="2"/>
        <v>0.79426243977003408</v>
      </c>
      <c r="J10" s="88">
        <v>13949.203916999999</v>
      </c>
      <c r="K10" s="31">
        <f t="shared" si="3"/>
        <v>0.73357642625089092</v>
      </c>
    </row>
    <row r="11" spans="1:17" s="5" customFormat="1" ht="14" x14ac:dyDescent="0.2">
      <c r="A11" s="165" t="s">
        <v>77</v>
      </c>
      <c r="B11" s="162">
        <v>7444.9809999999998</v>
      </c>
      <c r="C11" s="163">
        <v>1657.3</v>
      </c>
      <c r="D11" s="133">
        <f t="shared" si="0"/>
        <v>0.22260634379053487</v>
      </c>
      <c r="E11" s="162">
        <v>1427.145</v>
      </c>
      <c r="F11" s="133">
        <f t="shared" si="1"/>
        <v>0.86112653110480908</v>
      </c>
      <c r="G11" s="162">
        <v>1470.01928</v>
      </c>
      <c r="H11" s="162">
        <v>541.70002999999997</v>
      </c>
      <c r="I11" s="133">
        <f t="shared" si="2"/>
        <v>0.3684985886715717</v>
      </c>
      <c r="J11" s="162">
        <v>441.85496000000001</v>
      </c>
      <c r="K11" s="164">
        <f t="shared" si="3"/>
        <v>0.81568199285497556</v>
      </c>
    </row>
    <row r="12" spans="1:17" s="5" customFormat="1" ht="14" x14ac:dyDescent="0.2">
      <c r="A12" s="165" t="s">
        <v>79</v>
      </c>
      <c r="B12" s="162">
        <v>1627.87</v>
      </c>
      <c r="C12" s="162">
        <v>612.15560000000005</v>
      </c>
      <c r="D12" s="133">
        <f t="shared" si="0"/>
        <v>0.37604698163858297</v>
      </c>
      <c r="E12" s="162">
        <v>457.34010000000001</v>
      </c>
      <c r="F12" s="133">
        <f t="shared" si="1"/>
        <v>0.74709779670397525</v>
      </c>
      <c r="G12" s="162">
        <v>314.12979000000001</v>
      </c>
      <c r="H12" s="162">
        <v>150.844404</v>
      </c>
      <c r="I12" s="133">
        <f t="shared" si="2"/>
        <v>0.4801977042673985</v>
      </c>
      <c r="J12" s="162">
        <v>105.65982699999999</v>
      </c>
      <c r="K12" s="164">
        <f t="shared" si="3"/>
        <v>0.70045572920292087</v>
      </c>
    </row>
    <row r="13" spans="1:17" s="5" customFormat="1" ht="14" x14ac:dyDescent="0.2">
      <c r="A13" s="165" t="s">
        <v>80</v>
      </c>
      <c r="B13" s="162">
        <v>1342.2829999999999</v>
      </c>
      <c r="C13" s="162">
        <v>676.92819999999995</v>
      </c>
      <c r="D13" s="133">
        <f t="shared" si="0"/>
        <v>0.50431108790024159</v>
      </c>
      <c r="E13" s="162">
        <v>529.19780000000003</v>
      </c>
      <c r="F13" s="133">
        <f t="shared" si="1"/>
        <v>0.78176356074396081</v>
      </c>
      <c r="G13" s="162">
        <v>594.71687999999995</v>
      </c>
      <c r="H13" s="162">
        <v>357.07176999999996</v>
      </c>
      <c r="I13" s="133">
        <f t="shared" si="2"/>
        <v>0.60040631434574376</v>
      </c>
      <c r="J13" s="162">
        <v>249.80223000000001</v>
      </c>
      <c r="K13" s="164">
        <f t="shared" si="3"/>
        <v>0.69958549229472844</v>
      </c>
    </row>
    <row r="14" spans="1:17" s="5" customFormat="1" ht="14" x14ac:dyDescent="0.2">
      <c r="A14" s="165" t="s">
        <v>78</v>
      </c>
      <c r="B14" s="162">
        <v>24531.84</v>
      </c>
      <c r="C14" s="162">
        <v>17644.63</v>
      </c>
      <c r="D14" s="133">
        <f t="shared" si="0"/>
        <v>0.71925424264955262</v>
      </c>
      <c r="E14" s="162">
        <v>13968.44</v>
      </c>
      <c r="F14" s="133">
        <f t="shared" si="1"/>
        <v>0.79165389129723884</v>
      </c>
      <c r="G14" s="162">
        <v>10976.164000000001</v>
      </c>
      <c r="H14" s="162">
        <v>8446.3739999999998</v>
      </c>
      <c r="I14" s="133">
        <f t="shared" si="2"/>
        <v>0.76951966096716473</v>
      </c>
      <c r="J14" s="162">
        <v>6481.5592999999999</v>
      </c>
      <c r="K14" s="164">
        <f t="shared" si="3"/>
        <v>0.76737772918888036</v>
      </c>
    </row>
    <row r="15" spans="1:17" s="5" customFormat="1" ht="14" x14ac:dyDescent="0.2">
      <c r="A15" s="165" t="s">
        <v>84</v>
      </c>
      <c r="B15" s="162">
        <v>29845.15</v>
      </c>
      <c r="C15" s="162">
        <v>25045.65</v>
      </c>
      <c r="D15" s="133">
        <f t="shared" si="0"/>
        <v>0.83918660150811775</v>
      </c>
      <c r="E15" s="162">
        <v>19128.669999999998</v>
      </c>
      <c r="F15" s="133">
        <f t="shared" si="1"/>
        <v>0.76375218850379201</v>
      </c>
      <c r="G15" s="162">
        <v>10585.845700000002</v>
      </c>
      <c r="H15" s="162">
        <v>9519.3481000000011</v>
      </c>
      <c r="I15" s="133">
        <f t="shared" si="2"/>
        <v>0.89925248957671844</v>
      </c>
      <c r="J15" s="162">
        <v>6670.3276000000005</v>
      </c>
      <c r="K15" s="164">
        <f t="shared" si="3"/>
        <v>0.70071264648889142</v>
      </c>
    </row>
    <row r="16" spans="1:17" s="5" customFormat="1" ht="14" x14ac:dyDescent="0.2">
      <c r="A16" s="25" t="s">
        <v>6</v>
      </c>
      <c r="B16" s="26">
        <v>20015.240000000002</v>
      </c>
      <c r="C16" s="88">
        <v>16511.71</v>
      </c>
      <c r="D16" s="31">
        <f t="shared" si="0"/>
        <v>0.82495688285526414</v>
      </c>
      <c r="E16" s="88">
        <v>13144.08</v>
      </c>
      <c r="F16" s="31">
        <f t="shared" si="1"/>
        <v>0.79604595768699915</v>
      </c>
      <c r="G16" s="26">
        <v>8931.7548000000006</v>
      </c>
      <c r="H16" s="88">
        <v>7526.2901999999995</v>
      </c>
      <c r="I16" s="31">
        <f t="shared" si="2"/>
        <v>0.84264406810630299</v>
      </c>
      <c r="J16" s="88">
        <v>5480.924</v>
      </c>
      <c r="K16" s="31">
        <f t="shared" si="3"/>
        <v>0.72823713334891083</v>
      </c>
    </row>
    <row r="17" spans="1:17" s="5" customFormat="1" ht="14" x14ac:dyDescent="0.2">
      <c r="A17" s="25" t="s">
        <v>7</v>
      </c>
      <c r="B17" s="26">
        <v>35289.4</v>
      </c>
      <c r="C17" s="26">
        <v>31183.69</v>
      </c>
      <c r="D17" s="31">
        <f t="shared" si="0"/>
        <v>0.88365599868515754</v>
      </c>
      <c r="E17" s="26">
        <v>25136.720000000001</v>
      </c>
      <c r="F17" s="31">
        <f t="shared" si="1"/>
        <v>0.80608548892065057</v>
      </c>
      <c r="G17" s="26">
        <v>7829.6008000000002</v>
      </c>
      <c r="H17" s="26">
        <v>7144.3123000000005</v>
      </c>
      <c r="I17" s="31">
        <f t="shared" si="2"/>
        <v>0.91247465643459125</v>
      </c>
      <c r="J17" s="26">
        <v>5111.2768000000005</v>
      </c>
      <c r="K17" s="31">
        <f t="shared" si="3"/>
        <v>0.71543300255785292</v>
      </c>
    </row>
    <row r="18" spans="1:17" s="5" customFormat="1" ht="14" x14ac:dyDescent="0.2">
      <c r="A18" s="25" t="s">
        <v>8</v>
      </c>
      <c r="B18" s="26">
        <v>57969.599999999999</v>
      </c>
      <c r="C18" s="88">
        <v>48905.66</v>
      </c>
      <c r="D18" s="31">
        <f t="shared" si="0"/>
        <v>0.84364321989456548</v>
      </c>
      <c r="E18" s="88">
        <v>38186.83</v>
      </c>
      <c r="F18" s="31">
        <f t="shared" si="1"/>
        <v>0.78082639105575913</v>
      </c>
      <c r="G18" s="26">
        <v>18651.3989</v>
      </c>
      <c r="H18" s="88">
        <v>16879.337</v>
      </c>
      <c r="I18" s="31">
        <f t="shared" si="2"/>
        <v>0.90499040262336561</v>
      </c>
      <c r="J18" s="88">
        <v>12453.170899999999</v>
      </c>
      <c r="K18" s="31">
        <f t="shared" si="3"/>
        <v>0.73777606904820958</v>
      </c>
    </row>
    <row r="19" spans="1:17" s="5" customFormat="1" ht="14" x14ac:dyDescent="0.2">
      <c r="A19" s="25" t="s">
        <v>9</v>
      </c>
      <c r="B19" s="26">
        <v>22239.38</v>
      </c>
      <c r="C19" s="26">
        <v>17186.810000000001</v>
      </c>
      <c r="D19" s="31">
        <f t="shared" si="0"/>
        <v>0.77280976358153874</v>
      </c>
      <c r="E19" s="26">
        <v>13652.1</v>
      </c>
      <c r="F19" s="31">
        <f t="shared" si="1"/>
        <v>0.79433588897532459</v>
      </c>
      <c r="G19" s="26">
        <v>6318.6212999999998</v>
      </c>
      <c r="H19" s="26">
        <v>5165.1871000000001</v>
      </c>
      <c r="I19" s="31">
        <f t="shared" si="2"/>
        <v>0.81745476659599781</v>
      </c>
      <c r="J19" s="26">
        <v>3744.9038600000003</v>
      </c>
      <c r="K19" s="31">
        <f t="shared" si="3"/>
        <v>0.725027726488359</v>
      </c>
    </row>
    <row r="20" spans="1:17" s="5" customFormat="1" ht="14" x14ac:dyDescent="0.2">
      <c r="A20" s="37" t="s">
        <v>81</v>
      </c>
      <c r="B20" s="92">
        <v>260944.5</v>
      </c>
      <c r="C20" s="92">
        <v>213219.7</v>
      </c>
      <c r="D20" s="50">
        <f t="shared" si="0"/>
        <v>0.81710746921280197</v>
      </c>
      <c r="E20" s="92">
        <v>166953.20000000001</v>
      </c>
      <c r="F20" s="50">
        <f t="shared" si="1"/>
        <v>0.78301020027699131</v>
      </c>
      <c r="G20" s="92">
        <v>81567.447</v>
      </c>
      <c r="H20" s="92">
        <v>70290.34199999999</v>
      </c>
      <c r="I20" s="50">
        <f t="shared" si="2"/>
        <v>0.86174502923942187</v>
      </c>
      <c r="J20" s="92">
        <v>50781.787000000004</v>
      </c>
      <c r="K20" s="50">
        <f t="shared" si="3"/>
        <v>0.72245753193233875</v>
      </c>
      <c r="M20" s="48"/>
      <c r="N20" s="48"/>
    </row>
    <row r="21" spans="1:17" ht="14" x14ac:dyDescent="0.2">
      <c r="A21" s="56"/>
      <c r="B21" s="40" t="s">
        <v>125</v>
      </c>
      <c r="G21" s="53"/>
      <c r="L21"/>
      <c r="M21"/>
      <c r="N21"/>
      <c r="O21"/>
      <c r="P21"/>
      <c r="Q21"/>
    </row>
    <row r="22" spans="1:17" x14ac:dyDescent="0.15">
      <c r="B22" s="86" t="s">
        <v>128</v>
      </c>
      <c r="L22"/>
      <c r="M22"/>
      <c r="N22"/>
      <c r="O22"/>
      <c r="P22"/>
      <c r="Q22"/>
    </row>
    <row r="23" spans="1:17" x14ac:dyDescent="0.15">
      <c r="B23" s="86" t="s">
        <v>126</v>
      </c>
      <c r="L23"/>
      <c r="M23"/>
      <c r="N23"/>
      <c r="O23"/>
      <c r="P23"/>
      <c r="Q23"/>
    </row>
    <row r="24" spans="1:17" x14ac:dyDescent="0.15">
      <c r="B24" s="86" t="s">
        <v>131</v>
      </c>
      <c r="L24"/>
      <c r="M24"/>
      <c r="N24"/>
      <c r="O24"/>
      <c r="P24"/>
      <c r="Q24"/>
    </row>
    <row r="25" spans="1:17" x14ac:dyDescent="0.15">
      <c r="B25" s="40" t="s">
        <v>174</v>
      </c>
      <c r="L25"/>
      <c r="M25"/>
      <c r="N25"/>
      <c r="O25"/>
      <c r="P25"/>
      <c r="Q25"/>
    </row>
    <row r="26" spans="1:17" x14ac:dyDescent="0.15">
      <c r="F26" s="4"/>
      <c r="L26"/>
      <c r="M26"/>
      <c r="N26"/>
      <c r="O26"/>
      <c r="P26"/>
      <c r="Q26"/>
    </row>
  </sheetData>
  <mergeCells count="2">
    <mergeCell ref="B3:F3"/>
    <mergeCell ref="G3:K3"/>
  </mergeCells>
  <phoneticPr fontId="5" type="noConversion"/>
  <hyperlinks>
    <hyperlink ref="A1" location="Contents!A1" display="&lt;Back to contents&gt;"/>
  </hyperlinks>
  <pageMargins left="0.39370078740157483" right="0.39370078740157483" top="0.39370078740157483" bottom="0.39370078740157483" header="0" footer="0"/>
  <pageSetup paperSize="8"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92D050"/>
    <pageSetUpPr fitToPage="1"/>
  </sheetPr>
  <dimension ref="A1:Q49"/>
  <sheetViews>
    <sheetView showGridLines="0" workbookViewId="0">
      <pane xSplit="1" ySplit="4" topLeftCell="B5" activePane="bottomRight" state="frozen"/>
      <selection pane="topRight" activeCell="B1" sqref="B1"/>
      <selection pane="bottomLeft" activeCell="A5" sqref="A5"/>
      <selection pane="bottomRight" activeCell="G21" sqref="G21"/>
    </sheetView>
  </sheetViews>
  <sheetFormatPr baseColWidth="10" defaultColWidth="122.33203125" defaultRowHeight="13" x14ac:dyDescent="0.15"/>
  <cols>
    <col min="1" max="1" width="38.83203125" style="1" customWidth="1"/>
    <col min="2" max="3" width="16.5" style="2" customWidth="1"/>
    <col min="4" max="4" width="16.5" style="4" customWidth="1"/>
    <col min="5" max="7" width="16.5" style="2" customWidth="1"/>
    <col min="8" max="9" width="16.5" style="4" customWidth="1"/>
    <col min="10" max="11" width="16.5" style="2" customWidth="1"/>
    <col min="12" max="12" width="28" style="2" customWidth="1"/>
    <col min="13" max="17" width="122.33203125" style="2" customWidth="1"/>
  </cols>
  <sheetData>
    <row r="1" spans="1:17" s="82" customFormat="1" ht="14" x14ac:dyDescent="0.2">
      <c r="A1" s="80" t="s">
        <v>57</v>
      </c>
      <c r="B1" s="78"/>
      <c r="C1" s="78"/>
      <c r="D1" s="81"/>
      <c r="E1" s="78"/>
      <c r="F1" s="81"/>
      <c r="G1" s="81"/>
      <c r="H1" s="81"/>
      <c r="I1" s="81"/>
      <c r="J1" s="78"/>
      <c r="K1" s="78"/>
      <c r="L1" s="78"/>
      <c r="M1" s="78"/>
      <c r="N1" s="78"/>
      <c r="O1" s="78"/>
      <c r="P1" s="78"/>
      <c r="Q1" s="78"/>
    </row>
    <row r="2" spans="1:17" ht="19" x14ac:dyDescent="0.25">
      <c r="A2" s="14" t="s">
        <v>196</v>
      </c>
      <c r="B2"/>
      <c r="C2"/>
      <c r="D2"/>
      <c r="E2"/>
      <c r="F2"/>
    </row>
    <row r="3" spans="1:17" ht="16" x14ac:dyDescent="0.2">
      <c r="A3" s="24"/>
      <c r="B3" s="213" t="s">
        <v>114</v>
      </c>
      <c r="C3" s="213"/>
      <c r="D3" s="213"/>
      <c r="E3" s="213"/>
      <c r="F3" s="213"/>
      <c r="G3" s="213" t="s">
        <v>115</v>
      </c>
      <c r="H3" s="213"/>
      <c r="I3" s="213"/>
      <c r="J3" s="213"/>
      <c r="K3" s="213"/>
    </row>
    <row r="4" spans="1:17" ht="15" x14ac:dyDescent="0.2">
      <c r="A4" s="21" t="s">
        <v>87</v>
      </c>
      <c r="B4" s="36" t="s">
        <v>99</v>
      </c>
      <c r="C4" s="36" t="s">
        <v>100</v>
      </c>
      <c r="D4" s="36" t="s">
        <v>60</v>
      </c>
      <c r="E4" s="36" t="s">
        <v>127</v>
      </c>
      <c r="F4" s="36" t="s">
        <v>61</v>
      </c>
      <c r="G4" s="36" t="s">
        <v>99</v>
      </c>
      <c r="H4" s="36" t="s">
        <v>100</v>
      </c>
      <c r="I4" s="36" t="s">
        <v>60</v>
      </c>
      <c r="J4" s="36" t="s">
        <v>127</v>
      </c>
      <c r="K4" s="36" t="s">
        <v>61</v>
      </c>
    </row>
    <row r="5" spans="1:17" ht="14" x14ac:dyDescent="0.2">
      <c r="A5" s="25" t="s">
        <v>0</v>
      </c>
      <c r="B5" s="126">
        <v>452</v>
      </c>
      <c r="C5" s="126">
        <v>394</v>
      </c>
      <c r="D5" s="31">
        <f>C5/B5</f>
        <v>0.87168141592920356</v>
      </c>
      <c r="E5" s="26">
        <v>300</v>
      </c>
      <c r="F5" s="31">
        <f>E5/C5</f>
        <v>0.76142131979695427</v>
      </c>
      <c r="G5" s="126">
        <v>30182</v>
      </c>
      <c r="H5" s="126">
        <v>29517</v>
      </c>
      <c r="I5" s="31">
        <f>H5/G5</f>
        <v>0.97796700019879401</v>
      </c>
      <c r="J5" s="26">
        <v>22180</v>
      </c>
      <c r="K5" s="31">
        <f>J5/H5</f>
        <v>0.75143137852762809</v>
      </c>
      <c r="Q5"/>
    </row>
    <row r="6" spans="1:17" ht="14" x14ac:dyDescent="0.2">
      <c r="A6" s="25" t="s">
        <v>1</v>
      </c>
      <c r="B6" s="126">
        <v>126</v>
      </c>
      <c r="C6" s="126">
        <v>100</v>
      </c>
      <c r="D6" s="31">
        <f t="shared" ref="D6:D20" si="0">C6/B6</f>
        <v>0.79365079365079361</v>
      </c>
      <c r="E6" s="26">
        <v>79</v>
      </c>
      <c r="F6" s="31">
        <f t="shared" ref="F6:F20" si="1">E6/C6</f>
        <v>0.79</v>
      </c>
      <c r="G6" s="126">
        <v>9950</v>
      </c>
      <c r="H6" s="126">
        <v>8426</v>
      </c>
      <c r="I6" s="31">
        <f t="shared" ref="I6:I20" si="2">H6/G6</f>
        <v>0.84683417085427137</v>
      </c>
      <c r="J6" s="26">
        <v>6894</v>
      </c>
      <c r="K6" s="31">
        <f t="shared" ref="K6:K20" si="3">J6/H6</f>
        <v>0.81818181818181823</v>
      </c>
      <c r="Q6"/>
    </row>
    <row r="7" spans="1:17" ht="14" x14ac:dyDescent="0.2">
      <c r="A7" s="25" t="s">
        <v>2</v>
      </c>
      <c r="B7" s="126">
        <v>211</v>
      </c>
      <c r="C7" s="126">
        <v>169</v>
      </c>
      <c r="D7" s="31">
        <f t="shared" si="0"/>
        <v>0.80094786729857825</v>
      </c>
      <c r="E7" s="26">
        <v>139</v>
      </c>
      <c r="F7" s="31">
        <f t="shared" si="1"/>
        <v>0.8224852071005917</v>
      </c>
      <c r="G7" s="126">
        <v>18111</v>
      </c>
      <c r="H7" s="126">
        <v>15377</v>
      </c>
      <c r="I7" s="31">
        <f t="shared" si="2"/>
        <v>0.84904201866269113</v>
      </c>
      <c r="J7" s="26">
        <v>12300</v>
      </c>
      <c r="K7" s="31">
        <f t="shared" si="3"/>
        <v>0.79989594849450474</v>
      </c>
      <c r="Q7"/>
    </row>
    <row r="8" spans="1:17" ht="14" x14ac:dyDescent="0.2">
      <c r="A8" s="25" t="s">
        <v>3</v>
      </c>
      <c r="B8" s="126">
        <v>112</v>
      </c>
      <c r="C8" s="126">
        <v>78</v>
      </c>
      <c r="D8" s="31">
        <f t="shared" si="0"/>
        <v>0.6964285714285714</v>
      </c>
      <c r="E8" s="26">
        <v>61</v>
      </c>
      <c r="F8" s="31">
        <f t="shared" si="1"/>
        <v>0.78205128205128205</v>
      </c>
      <c r="G8" s="126">
        <v>9339</v>
      </c>
      <c r="H8" s="126">
        <v>7082</v>
      </c>
      <c r="I8" s="31">
        <f t="shared" si="2"/>
        <v>0.75832530249491381</v>
      </c>
      <c r="J8" s="26">
        <v>5513</v>
      </c>
      <c r="K8" s="31">
        <f t="shared" si="3"/>
        <v>0.77845241457215475</v>
      </c>
      <c r="Q8"/>
    </row>
    <row r="9" spans="1:17" ht="14" x14ac:dyDescent="0.2">
      <c r="A9" s="25" t="s">
        <v>4</v>
      </c>
      <c r="B9" s="126">
        <v>122</v>
      </c>
      <c r="C9" s="126">
        <v>101</v>
      </c>
      <c r="D9" s="31">
        <f t="shared" si="0"/>
        <v>0.82786885245901642</v>
      </c>
      <c r="E9" s="26">
        <v>75</v>
      </c>
      <c r="F9" s="31">
        <f t="shared" si="1"/>
        <v>0.74257425742574257</v>
      </c>
      <c r="G9" s="126">
        <v>4262</v>
      </c>
      <c r="H9" s="126">
        <v>3822</v>
      </c>
      <c r="I9" s="31">
        <f t="shared" si="2"/>
        <v>0.89676208352885967</v>
      </c>
      <c r="J9" s="26">
        <v>2597</v>
      </c>
      <c r="K9" s="31">
        <f t="shared" si="3"/>
        <v>0.67948717948717952</v>
      </c>
      <c r="Q9"/>
    </row>
    <row r="10" spans="1:17" ht="14" x14ac:dyDescent="0.2">
      <c r="A10" s="25" t="s">
        <v>5</v>
      </c>
      <c r="B10" s="126">
        <v>2047</v>
      </c>
      <c r="C10" s="126">
        <v>1543</v>
      </c>
      <c r="D10" s="31">
        <f t="shared" si="0"/>
        <v>0.75378602833414754</v>
      </c>
      <c r="E10" s="26">
        <v>1175</v>
      </c>
      <c r="F10" s="31">
        <f t="shared" si="1"/>
        <v>0.76150356448476997</v>
      </c>
      <c r="G10" s="126">
        <v>84659</v>
      </c>
      <c r="H10" s="126">
        <v>61095</v>
      </c>
      <c r="I10" s="31">
        <f t="shared" si="2"/>
        <v>0.72165983533942046</v>
      </c>
      <c r="J10" s="26">
        <v>46729</v>
      </c>
      <c r="K10" s="31">
        <f t="shared" si="3"/>
        <v>0.76485800802029624</v>
      </c>
      <c r="Q10"/>
    </row>
    <row r="11" spans="1:17" ht="14" x14ac:dyDescent="0.2">
      <c r="A11" s="30" t="s">
        <v>77</v>
      </c>
      <c r="B11" s="162">
        <v>79</v>
      </c>
      <c r="C11" s="162">
        <v>42</v>
      </c>
      <c r="D11" s="133">
        <f t="shared" si="0"/>
        <v>0.53164556962025311</v>
      </c>
      <c r="E11" s="91">
        <v>37</v>
      </c>
      <c r="F11" s="133">
        <f t="shared" si="1"/>
        <v>0.88095238095238093</v>
      </c>
      <c r="G11" s="162">
        <v>9082</v>
      </c>
      <c r="H11" s="162">
        <v>2125</v>
      </c>
      <c r="I11" s="133">
        <f t="shared" si="2"/>
        <v>0.23397929971371945</v>
      </c>
      <c r="J11" s="91">
        <v>1801</v>
      </c>
      <c r="K11" s="133">
        <f t="shared" si="3"/>
        <v>0.84752941176470586</v>
      </c>
      <c r="Q11"/>
    </row>
    <row r="12" spans="1:17" ht="14" x14ac:dyDescent="0.2">
      <c r="A12" s="30" t="s">
        <v>79</v>
      </c>
      <c r="B12" s="162">
        <v>40</v>
      </c>
      <c r="C12" s="162">
        <v>18</v>
      </c>
      <c r="D12" s="133">
        <f t="shared" si="0"/>
        <v>0.45</v>
      </c>
      <c r="E12" s="91">
        <v>14</v>
      </c>
      <c r="F12" s="133">
        <f t="shared" si="1"/>
        <v>0.77777777777777779</v>
      </c>
      <c r="G12" s="162">
        <v>1965</v>
      </c>
      <c r="H12" s="162">
        <v>763</v>
      </c>
      <c r="I12" s="133">
        <f t="shared" si="2"/>
        <v>0.38829516539440201</v>
      </c>
      <c r="J12" s="91">
        <v>558</v>
      </c>
      <c r="K12" s="133">
        <f t="shared" si="3"/>
        <v>0.73132372214941022</v>
      </c>
      <c r="Q12"/>
    </row>
    <row r="13" spans="1:17" ht="14" x14ac:dyDescent="0.2">
      <c r="A13" s="30" t="s">
        <v>80</v>
      </c>
      <c r="B13" s="162">
        <v>24</v>
      </c>
      <c r="C13" s="162">
        <v>15</v>
      </c>
      <c r="D13" s="133">
        <f t="shared" si="0"/>
        <v>0.625</v>
      </c>
      <c r="E13" s="91">
        <v>11</v>
      </c>
      <c r="F13" s="133">
        <f t="shared" si="1"/>
        <v>0.73333333333333328</v>
      </c>
      <c r="G13" s="162">
        <v>1938</v>
      </c>
      <c r="H13" s="162">
        <v>1030</v>
      </c>
      <c r="I13" s="133">
        <f t="shared" si="2"/>
        <v>0.53147574819401444</v>
      </c>
      <c r="J13" s="91">
        <v>771</v>
      </c>
      <c r="K13" s="133">
        <f t="shared" si="3"/>
        <v>0.74854368932038839</v>
      </c>
      <c r="Q13"/>
    </row>
    <row r="14" spans="1:17" ht="14" x14ac:dyDescent="0.2">
      <c r="A14" s="30" t="s">
        <v>78</v>
      </c>
      <c r="B14" s="162">
        <v>1076</v>
      </c>
      <c r="C14" s="162">
        <v>744</v>
      </c>
      <c r="D14" s="133">
        <f t="shared" si="0"/>
        <v>0.69144981412639406</v>
      </c>
      <c r="E14" s="91">
        <v>592</v>
      </c>
      <c r="F14" s="133">
        <f t="shared" si="1"/>
        <v>0.79569892473118276</v>
      </c>
      <c r="G14" s="162">
        <v>33495</v>
      </c>
      <c r="H14" s="162">
        <v>24721</v>
      </c>
      <c r="I14" s="133">
        <f t="shared" si="2"/>
        <v>0.73805045529183455</v>
      </c>
      <c r="J14" s="91">
        <v>19419</v>
      </c>
      <c r="K14" s="133">
        <f t="shared" si="3"/>
        <v>0.7855264754662028</v>
      </c>
      <c r="Q14"/>
    </row>
    <row r="15" spans="1:17" ht="14" x14ac:dyDescent="0.2">
      <c r="A15" s="30" t="s">
        <v>84</v>
      </c>
      <c r="B15" s="162">
        <v>828</v>
      </c>
      <c r="C15" s="162">
        <v>724</v>
      </c>
      <c r="D15" s="133">
        <f t="shared" si="0"/>
        <v>0.87439613526570048</v>
      </c>
      <c r="E15" s="91">
        <v>521</v>
      </c>
      <c r="F15" s="133">
        <f t="shared" si="1"/>
        <v>0.71961325966850831</v>
      </c>
      <c r="G15" s="162">
        <v>38179</v>
      </c>
      <c r="H15" s="162">
        <v>32456</v>
      </c>
      <c r="I15" s="133">
        <f t="shared" si="2"/>
        <v>0.85010084077634307</v>
      </c>
      <c r="J15" s="91">
        <v>24180</v>
      </c>
      <c r="K15" s="133">
        <f t="shared" si="3"/>
        <v>0.74500862706433324</v>
      </c>
      <c r="Q15"/>
    </row>
    <row r="16" spans="1:17" ht="14" x14ac:dyDescent="0.2">
      <c r="A16" s="25" t="s">
        <v>6</v>
      </c>
      <c r="B16" s="126">
        <v>879</v>
      </c>
      <c r="C16" s="126">
        <v>682</v>
      </c>
      <c r="D16" s="31">
        <f t="shared" si="0"/>
        <v>0.77588168373151312</v>
      </c>
      <c r="E16" s="26">
        <v>530</v>
      </c>
      <c r="F16" s="31">
        <f t="shared" si="1"/>
        <v>0.77712609970674484</v>
      </c>
      <c r="G16" s="126">
        <v>27227</v>
      </c>
      <c r="H16" s="166">
        <v>22794</v>
      </c>
      <c r="I16" s="31">
        <f t="shared" si="2"/>
        <v>0.83718367796672422</v>
      </c>
      <c r="J16" s="26">
        <v>17758</v>
      </c>
      <c r="K16" s="31">
        <f t="shared" si="3"/>
        <v>0.7790646661402123</v>
      </c>
      <c r="Q16"/>
    </row>
    <row r="17" spans="1:17" ht="14" x14ac:dyDescent="0.2">
      <c r="A17" s="25" t="s">
        <v>7</v>
      </c>
      <c r="B17" s="126">
        <v>630</v>
      </c>
      <c r="C17" s="126">
        <v>523</v>
      </c>
      <c r="D17" s="31">
        <f t="shared" si="0"/>
        <v>0.83015873015873021</v>
      </c>
      <c r="E17" s="26">
        <v>402</v>
      </c>
      <c r="F17" s="31">
        <f t="shared" si="1"/>
        <v>0.768642447418738</v>
      </c>
      <c r="G17" s="126">
        <v>41966</v>
      </c>
      <c r="H17" s="126">
        <v>37365</v>
      </c>
      <c r="I17" s="31">
        <f t="shared" si="2"/>
        <v>0.89036362769861321</v>
      </c>
      <c r="J17" s="26">
        <v>29534</v>
      </c>
      <c r="K17" s="31">
        <f t="shared" si="3"/>
        <v>0.79041884116151484</v>
      </c>
      <c r="Q17"/>
    </row>
    <row r="18" spans="1:17" ht="14" x14ac:dyDescent="0.2">
      <c r="A18" s="25" t="s">
        <v>8</v>
      </c>
      <c r="B18" s="126">
        <v>2099</v>
      </c>
      <c r="C18" s="126">
        <v>1746</v>
      </c>
      <c r="D18" s="31">
        <f t="shared" si="0"/>
        <v>0.83182467841829444</v>
      </c>
      <c r="E18" s="26">
        <v>1339</v>
      </c>
      <c r="F18" s="31">
        <f t="shared" si="1"/>
        <v>0.76689576174112262</v>
      </c>
      <c r="G18" s="126">
        <v>72047</v>
      </c>
      <c r="H18" s="126">
        <v>62233</v>
      </c>
      <c r="I18" s="31">
        <f t="shared" si="2"/>
        <v>0.86378336363762542</v>
      </c>
      <c r="J18" s="26">
        <v>47801</v>
      </c>
      <c r="K18" s="31">
        <f t="shared" si="3"/>
        <v>0.76809731171564921</v>
      </c>
      <c r="Q18"/>
    </row>
    <row r="19" spans="1:17" ht="14" x14ac:dyDescent="0.2">
      <c r="A19" s="25" t="s">
        <v>9</v>
      </c>
      <c r="B19" s="126">
        <v>538</v>
      </c>
      <c r="C19" s="126">
        <v>419</v>
      </c>
      <c r="D19" s="31">
        <f t="shared" si="0"/>
        <v>0.77881040892193309</v>
      </c>
      <c r="E19" s="26">
        <v>330</v>
      </c>
      <c r="F19" s="31">
        <f t="shared" si="1"/>
        <v>0.78758949880668261</v>
      </c>
      <c r="G19" s="126">
        <v>27345</v>
      </c>
      <c r="H19" s="126">
        <v>21340</v>
      </c>
      <c r="I19" s="31">
        <f t="shared" si="2"/>
        <v>0.78039861034924118</v>
      </c>
      <c r="J19" s="26">
        <v>16563</v>
      </c>
      <c r="K19" s="31">
        <f t="shared" si="3"/>
        <v>0.77614807872539826</v>
      </c>
      <c r="Q19"/>
    </row>
    <row r="20" spans="1:17" ht="14" x14ac:dyDescent="0.2">
      <c r="A20" s="37" t="s">
        <v>81</v>
      </c>
      <c r="B20" s="93">
        <v>7252</v>
      </c>
      <c r="C20" s="93">
        <v>5782</v>
      </c>
      <c r="D20" s="50">
        <f t="shared" si="0"/>
        <v>0.79729729729729726</v>
      </c>
      <c r="E20" s="92">
        <v>4454</v>
      </c>
      <c r="F20" s="31">
        <f t="shared" si="1"/>
        <v>0.77032168799723277</v>
      </c>
      <c r="G20" s="93">
        <v>326438</v>
      </c>
      <c r="H20" s="93">
        <v>270261</v>
      </c>
      <c r="I20" s="50">
        <f t="shared" si="2"/>
        <v>0.82790912822649321</v>
      </c>
      <c r="J20" s="92">
        <v>208725</v>
      </c>
      <c r="K20" s="50">
        <f t="shared" si="3"/>
        <v>0.77230899019836385</v>
      </c>
      <c r="N20" s="53"/>
    </row>
    <row r="21" spans="1:17" s="82" customFormat="1" ht="14" x14ac:dyDescent="0.2">
      <c r="A21" s="89"/>
      <c r="B21" s="190"/>
      <c r="C21" s="190"/>
      <c r="D21" s="81"/>
      <c r="E21" s="78"/>
      <c r="F21" s="78"/>
      <c r="G21" s="90"/>
      <c r="H21" s="84"/>
      <c r="I21" s="137"/>
      <c r="J21" s="78"/>
      <c r="K21" s="78"/>
      <c r="L21" s="78"/>
      <c r="M21" s="78"/>
      <c r="N21" s="90"/>
      <c r="O21" s="78"/>
      <c r="P21" s="78"/>
      <c r="Q21" s="78"/>
    </row>
    <row r="22" spans="1:17" s="82" customFormat="1" ht="14" x14ac:dyDescent="0.2">
      <c r="A22" s="89"/>
      <c r="B22" s="86" t="s">
        <v>128</v>
      </c>
      <c r="C22" s="78"/>
      <c r="D22" s="81"/>
      <c r="E22" s="78"/>
      <c r="F22" s="78"/>
      <c r="G22" s="78"/>
      <c r="H22" s="137"/>
      <c r="I22" s="137"/>
      <c r="J22" s="78"/>
      <c r="K22" s="78"/>
      <c r="L22" s="78"/>
      <c r="M22" s="78"/>
      <c r="N22" s="78"/>
      <c r="O22" s="78"/>
      <c r="P22" s="78"/>
      <c r="Q22" s="78"/>
    </row>
    <row r="23" spans="1:17" s="82" customFormat="1" ht="14" x14ac:dyDescent="0.2">
      <c r="A23" s="89"/>
      <c r="B23" s="86" t="s">
        <v>126</v>
      </c>
      <c r="C23" s="78"/>
      <c r="D23" s="81"/>
      <c r="E23" s="78"/>
      <c r="F23" s="78"/>
      <c r="G23" s="78"/>
      <c r="H23" s="81"/>
      <c r="I23" s="81"/>
      <c r="J23" s="78"/>
      <c r="K23" s="78"/>
      <c r="L23" s="78"/>
      <c r="M23" s="78"/>
      <c r="N23" s="78"/>
      <c r="O23" s="78"/>
      <c r="P23" s="78"/>
      <c r="Q23" s="78"/>
    </row>
    <row r="24" spans="1:17" s="82" customFormat="1" ht="14" x14ac:dyDescent="0.2">
      <c r="A24" s="89"/>
      <c r="B24" s="86" t="s">
        <v>131</v>
      </c>
      <c r="C24" s="78"/>
      <c r="D24" s="81"/>
      <c r="E24" s="78"/>
      <c r="F24" s="78"/>
      <c r="G24" s="78"/>
      <c r="H24" s="81"/>
      <c r="I24" s="81"/>
      <c r="J24" s="78"/>
      <c r="K24" s="78"/>
      <c r="L24" s="78"/>
      <c r="M24" s="78"/>
      <c r="N24" s="78"/>
      <c r="O24" s="78"/>
      <c r="P24" s="78"/>
      <c r="Q24" s="78"/>
    </row>
    <row r="25" spans="1:17" x14ac:dyDescent="0.15">
      <c r="B25" s="86" t="s">
        <v>174</v>
      </c>
    </row>
    <row r="31" spans="1:17" x14ac:dyDescent="0.15">
      <c r="A31" s="2"/>
      <c r="D31" s="2"/>
      <c r="G31"/>
      <c r="H31"/>
      <c r="I31"/>
      <c r="J31"/>
      <c r="K31"/>
      <c r="L31"/>
      <c r="M31"/>
      <c r="N31"/>
      <c r="O31"/>
      <c r="P31"/>
      <c r="Q31"/>
    </row>
    <row r="32" spans="1:17" x14ac:dyDescent="0.15">
      <c r="A32" s="2"/>
      <c r="D32" s="2"/>
      <c r="G32"/>
      <c r="H32"/>
      <c r="I32"/>
      <c r="J32"/>
      <c r="K32"/>
      <c r="L32"/>
      <c r="M32"/>
      <c r="N32"/>
      <c r="O32"/>
      <c r="P32"/>
      <c r="Q32"/>
    </row>
    <row r="33" spans="1:17" x14ac:dyDescent="0.15">
      <c r="A33" s="2"/>
      <c r="D33" s="2"/>
      <c r="G33"/>
      <c r="H33"/>
      <c r="I33"/>
      <c r="J33"/>
      <c r="K33"/>
      <c r="L33"/>
      <c r="M33"/>
      <c r="N33"/>
      <c r="O33"/>
      <c r="P33"/>
      <c r="Q33"/>
    </row>
    <row r="34" spans="1:17" x14ac:dyDescent="0.15">
      <c r="A34" s="2"/>
      <c r="D34" s="2"/>
      <c r="G34"/>
      <c r="H34"/>
      <c r="I34"/>
      <c r="J34"/>
      <c r="K34"/>
      <c r="L34"/>
      <c r="M34"/>
      <c r="N34"/>
      <c r="O34"/>
      <c r="P34"/>
      <c r="Q34"/>
    </row>
    <row r="35" spans="1:17" x14ac:dyDescent="0.15">
      <c r="A35" s="2"/>
      <c r="D35" s="2"/>
      <c r="G35"/>
      <c r="H35"/>
      <c r="I35"/>
      <c r="J35"/>
      <c r="K35"/>
      <c r="L35"/>
      <c r="M35"/>
      <c r="N35"/>
      <c r="O35"/>
      <c r="P35"/>
      <c r="Q35"/>
    </row>
    <row r="36" spans="1:17" x14ac:dyDescent="0.15">
      <c r="A36" s="2"/>
      <c r="D36" s="2"/>
      <c r="G36"/>
      <c r="H36"/>
      <c r="I36"/>
      <c r="J36"/>
      <c r="K36"/>
      <c r="L36"/>
      <c r="M36"/>
      <c r="N36"/>
      <c r="O36"/>
      <c r="P36"/>
      <c r="Q36"/>
    </row>
    <row r="37" spans="1:17" x14ac:dyDescent="0.15">
      <c r="A37" s="2"/>
      <c r="D37" s="2"/>
      <c r="G37"/>
      <c r="H37"/>
      <c r="I37"/>
      <c r="J37"/>
      <c r="K37"/>
      <c r="L37"/>
      <c r="M37"/>
      <c r="N37"/>
      <c r="O37"/>
      <c r="P37"/>
      <c r="Q37"/>
    </row>
    <row r="38" spans="1:17" x14ac:dyDescent="0.15">
      <c r="A38" s="2"/>
      <c r="D38" s="2"/>
      <c r="G38"/>
      <c r="H38"/>
      <c r="I38"/>
      <c r="J38"/>
      <c r="K38"/>
      <c r="L38"/>
      <c r="M38"/>
      <c r="N38"/>
      <c r="O38"/>
      <c r="P38"/>
      <c r="Q38"/>
    </row>
    <row r="39" spans="1:17" x14ac:dyDescent="0.15">
      <c r="A39" s="2"/>
      <c r="D39" s="2"/>
      <c r="G39"/>
      <c r="H39"/>
      <c r="I39"/>
      <c r="J39"/>
      <c r="K39"/>
      <c r="L39"/>
      <c r="M39"/>
      <c r="N39"/>
      <c r="O39"/>
      <c r="P39"/>
      <c r="Q39"/>
    </row>
    <row r="40" spans="1:17" x14ac:dyDescent="0.15">
      <c r="A40" s="2"/>
      <c r="D40" s="2"/>
      <c r="G40"/>
      <c r="H40"/>
      <c r="I40"/>
      <c r="J40"/>
      <c r="K40"/>
      <c r="L40"/>
      <c r="M40"/>
      <c r="N40"/>
      <c r="O40"/>
      <c r="P40"/>
      <c r="Q40"/>
    </row>
    <row r="41" spans="1:17" x14ac:dyDescent="0.15">
      <c r="A41" s="2"/>
      <c r="D41" s="2"/>
      <c r="G41"/>
      <c r="H41"/>
      <c r="I41"/>
      <c r="J41"/>
      <c r="K41"/>
      <c r="L41"/>
      <c r="M41"/>
      <c r="N41"/>
      <c r="O41"/>
      <c r="P41"/>
      <c r="Q41"/>
    </row>
    <row r="42" spans="1:17" x14ac:dyDescent="0.15">
      <c r="A42" s="2"/>
      <c r="D42" s="2"/>
      <c r="G42"/>
      <c r="H42"/>
      <c r="I42"/>
      <c r="J42"/>
      <c r="K42"/>
      <c r="L42"/>
      <c r="M42"/>
      <c r="N42"/>
      <c r="O42"/>
      <c r="P42"/>
      <c r="Q42"/>
    </row>
    <row r="43" spans="1:17" x14ac:dyDescent="0.15">
      <c r="A43" s="2"/>
      <c r="D43" s="2"/>
      <c r="G43"/>
      <c r="H43"/>
      <c r="I43"/>
      <c r="J43"/>
      <c r="K43"/>
      <c r="L43"/>
      <c r="M43"/>
      <c r="N43"/>
      <c r="O43"/>
      <c r="P43"/>
      <c r="Q43"/>
    </row>
    <row r="44" spans="1:17" x14ac:dyDescent="0.15">
      <c r="A44" s="2"/>
      <c r="D44" s="2"/>
      <c r="G44"/>
      <c r="H44"/>
      <c r="I44"/>
      <c r="J44"/>
      <c r="K44"/>
      <c r="L44"/>
      <c r="M44"/>
      <c r="N44"/>
      <c r="O44"/>
      <c r="P44"/>
      <c r="Q44"/>
    </row>
    <row r="45" spans="1:17" x14ac:dyDescent="0.15">
      <c r="A45" s="2"/>
      <c r="D45" s="2"/>
      <c r="G45"/>
      <c r="H45"/>
      <c r="I45"/>
      <c r="J45"/>
      <c r="K45"/>
      <c r="L45"/>
      <c r="M45"/>
      <c r="N45"/>
      <c r="O45"/>
      <c r="P45"/>
      <c r="Q45"/>
    </row>
    <row r="46" spans="1:17" x14ac:dyDescent="0.15">
      <c r="A46" s="2"/>
      <c r="D46" s="2"/>
      <c r="G46"/>
      <c r="H46"/>
      <c r="I46"/>
      <c r="J46"/>
      <c r="K46"/>
      <c r="L46"/>
      <c r="M46"/>
      <c r="N46"/>
      <c r="O46"/>
      <c r="P46"/>
      <c r="Q46"/>
    </row>
    <row r="47" spans="1:17" x14ac:dyDescent="0.15">
      <c r="A47" s="2"/>
      <c r="D47" s="2"/>
      <c r="G47"/>
      <c r="H47"/>
      <c r="I47"/>
      <c r="J47"/>
      <c r="K47"/>
      <c r="L47"/>
      <c r="M47"/>
      <c r="N47"/>
      <c r="O47"/>
      <c r="P47"/>
      <c r="Q47"/>
    </row>
    <row r="48" spans="1:17" x14ac:dyDescent="0.15">
      <c r="A48" s="2"/>
      <c r="D48" s="2"/>
      <c r="G48"/>
      <c r="H48"/>
      <c r="I48"/>
      <c r="J48"/>
      <c r="K48"/>
      <c r="L48"/>
      <c r="M48"/>
      <c r="N48"/>
      <c r="O48"/>
      <c r="P48"/>
      <c r="Q48"/>
    </row>
    <row r="49" spans="1:17" x14ac:dyDescent="0.15">
      <c r="A49" s="2"/>
      <c r="D49" s="2"/>
      <c r="G49"/>
      <c r="H49"/>
      <c r="I49"/>
      <c r="J49"/>
      <c r="K49"/>
      <c r="L49"/>
      <c r="M49"/>
      <c r="N49"/>
      <c r="O49"/>
      <c r="P49"/>
      <c r="Q49"/>
    </row>
  </sheetData>
  <mergeCells count="2">
    <mergeCell ref="B3:F3"/>
    <mergeCell ref="G3:K3"/>
  </mergeCells>
  <phoneticPr fontId="5" type="noConversion"/>
  <hyperlinks>
    <hyperlink ref="A1" location="Contents!A1" display=" &lt;Back to contents&gt;"/>
  </hyperlinks>
  <pageMargins left="0.39370078740157483" right="0.39370078740157483" top="0.39370078740157483" bottom="0.39370078740157483" header="0" footer="0"/>
  <pageSetup paperSize="8" orientation="landscape"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92D050"/>
    <pageSetUpPr fitToPage="1"/>
  </sheetPr>
  <dimension ref="A1:AB27"/>
  <sheetViews>
    <sheetView showGridLines="0" workbookViewId="0">
      <pane xSplit="1" topLeftCell="E1" activePane="topRight" state="frozen"/>
      <selection pane="topRight" activeCell="E21" sqref="E21"/>
    </sheetView>
  </sheetViews>
  <sheetFormatPr baseColWidth="10" defaultColWidth="8.83203125" defaultRowHeight="13" x14ac:dyDescent="0.15"/>
  <cols>
    <col min="1" max="1" width="12.5" style="1" customWidth="1"/>
    <col min="2" max="3" width="10.5" style="2" customWidth="1"/>
    <col min="4" max="5" width="10.5" style="4" customWidth="1"/>
    <col min="6" max="10" width="10.5" style="2" customWidth="1"/>
    <col min="11" max="11" width="10.5" style="4" customWidth="1"/>
    <col min="12" max="14" width="10.5" style="2" customWidth="1"/>
    <col min="15" max="26" width="10.5" customWidth="1"/>
    <col min="27" max="27" width="12.5" customWidth="1"/>
  </cols>
  <sheetData>
    <row r="1" spans="1:28" s="82" customFormat="1" ht="14" x14ac:dyDescent="0.2">
      <c r="A1" s="80" t="s">
        <v>56</v>
      </c>
      <c r="B1" s="78"/>
      <c r="C1" s="78"/>
      <c r="D1" s="81"/>
      <c r="E1" s="81"/>
      <c r="F1" s="78"/>
      <c r="G1" s="78"/>
      <c r="H1" s="78"/>
      <c r="I1" s="78"/>
      <c r="J1" s="78"/>
      <c r="K1" s="81"/>
      <c r="L1" s="78"/>
      <c r="M1" s="78"/>
      <c r="N1" s="78"/>
      <c r="V1" s="101"/>
      <c r="W1" s="100"/>
      <c r="X1" s="100"/>
      <c r="Y1" s="100"/>
      <c r="Z1" s="100"/>
    </row>
    <row r="2" spans="1:28" ht="19" x14ac:dyDescent="0.25">
      <c r="A2" s="14" t="s">
        <v>197</v>
      </c>
      <c r="B2"/>
      <c r="C2"/>
      <c r="D2"/>
      <c r="E2"/>
      <c r="F2"/>
      <c r="G2"/>
      <c r="H2"/>
      <c r="I2"/>
      <c r="J2"/>
      <c r="K2"/>
      <c r="L2"/>
      <c r="M2"/>
      <c r="N2"/>
      <c r="V2" s="43"/>
      <c r="W2" s="42"/>
      <c r="X2" s="42"/>
      <c r="Y2" s="42"/>
      <c r="Z2" s="42"/>
    </row>
    <row r="3" spans="1:28" ht="16" x14ac:dyDescent="0.2">
      <c r="A3" s="47"/>
      <c r="B3" s="214" t="s">
        <v>99</v>
      </c>
      <c r="C3" s="215"/>
      <c r="D3" s="215"/>
      <c r="E3" s="215"/>
      <c r="F3" s="215"/>
      <c r="G3" s="215"/>
      <c r="H3" s="215"/>
      <c r="I3" s="215"/>
      <c r="J3" s="218"/>
      <c r="K3" s="214" t="s">
        <v>100</v>
      </c>
      <c r="L3" s="215"/>
      <c r="M3" s="215"/>
      <c r="N3" s="215"/>
      <c r="O3" s="215"/>
      <c r="P3" s="215"/>
      <c r="Q3" s="215"/>
      <c r="R3" s="215"/>
      <c r="S3" s="218"/>
      <c r="T3" s="214" t="s">
        <v>127</v>
      </c>
      <c r="U3" s="215"/>
      <c r="V3" s="215"/>
      <c r="W3" s="215"/>
      <c r="X3" s="215"/>
      <c r="Y3" s="215"/>
      <c r="Z3" s="215"/>
      <c r="AA3" s="215"/>
      <c r="AB3" s="215"/>
    </row>
    <row r="4" spans="1:28" ht="15" x14ac:dyDescent="0.2">
      <c r="A4" s="28" t="s">
        <v>117</v>
      </c>
      <c r="B4" s="175" t="s">
        <v>175</v>
      </c>
      <c r="C4" s="115" t="s">
        <v>88</v>
      </c>
      <c r="D4" s="115" t="s">
        <v>89</v>
      </c>
      <c r="E4" s="115" t="s">
        <v>90</v>
      </c>
      <c r="F4" s="175" t="s">
        <v>176</v>
      </c>
      <c r="G4" s="115" t="s">
        <v>91</v>
      </c>
      <c r="H4" s="175" t="s">
        <v>177</v>
      </c>
      <c r="I4" s="175" t="s">
        <v>178</v>
      </c>
      <c r="J4" s="177" t="s">
        <v>179</v>
      </c>
      <c r="K4" s="175" t="s">
        <v>175</v>
      </c>
      <c r="L4" s="115" t="s">
        <v>88</v>
      </c>
      <c r="M4" s="115" t="s">
        <v>89</v>
      </c>
      <c r="N4" s="115" t="s">
        <v>90</v>
      </c>
      <c r="O4" s="175" t="s">
        <v>176</v>
      </c>
      <c r="P4" s="115" t="s">
        <v>91</v>
      </c>
      <c r="Q4" s="175" t="s">
        <v>177</v>
      </c>
      <c r="R4" s="175" t="s">
        <v>178</v>
      </c>
      <c r="S4" s="177" t="s">
        <v>179</v>
      </c>
      <c r="T4" s="175" t="s">
        <v>175</v>
      </c>
      <c r="U4" s="115" t="s">
        <v>88</v>
      </c>
      <c r="V4" s="115" t="s">
        <v>89</v>
      </c>
      <c r="W4" s="115" t="s">
        <v>90</v>
      </c>
      <c r="X4" s="175" t="s">
        <v>176</v>
      </c>
      <c r="Y4" s="115" t="s">
        <v>91</v>
      </c>
      <c r="Z4" s="175" t="s">
        <v>177</v>
      </c>
      <c r="AA4" s="175" t="s">
        <v>178</v>
      </c>
      <c r="AB4" s="177" t="s">
        <v>179</v>
      </c>
    </row>
    <row r="5" spans="1:28" ht="14" x14ac:dyDescent="0.2">
      <c r="A5" s="25" t="s">
        <v>112</v>
      </c>
      <c r="B5" s="26">
        <v>6269</v>
      </c>
      <c r="C5" s="26">
        <v>7876</v>
      </c>
      <c r="D5" s="26">
        <v>765</v>
      </c>
      <c r="E5" s="26">
        <v>527</v>
      </c>
      <c r="F5" s="26">
        <v>835</v>
      </c>
      <c r="G5" s="26">
        <v>13</v>
      </c>
      <c r="H5" s="26">
        <v>36</v>
      </c>
      <c r="I5" s="26">
        <v>50</v>
      </c>
      <c r="J5" s="26">
        <v>16380</v>
      </c>
      <c r="K5" s="126">
        <v>3308</v>
      </c>
      <c r="L5" s="126">
        <v>3584</v>
      </c>
      <c r="M5" s="126">
        <v>387</v>
      </c>
      <c r="N5" s="126">
        <v>28</v>
      </c>
      <c r="O5" s="126">
        <v>275</v>
      </c>
      <c r="P5" s="126">
        <v>12</v>
      </c>
      <c r="Q5" s="126">
        <v>10</v>
      </c>
      <c r="R5" s="126">
        <v>12</v>
      </c>
      <c r="S5" s="126">
        <v>7620</v>
      </c>
      <c r="T5" s="126">
        <v>1905</v>
      </c>
      <c r="U5" s="126">
        <v>2321</v>
      </c>
      <c r="V5" s="126">
        <v>287</v>
      </c>
      <c r="W5" s="126">
        <v>23</v>
      </c>
      <c r="X5" s="126">
        <v>191</v>
      </c>
      <c r="Y5" s="126">
        <v>9</v>
      </c>
      <c r="Z5" s="126">
        <v>5</v>
      </c>
      <c r="AA5" s="126">
        <v>6</v>
      </c>
      <c r="AB5" s="126">
        <v>4748</v>
      </c>
    </row>
    <row r="6" spans="1:28" ht="14" x14ac:dyDescent="0.2">
      <c r="A6" s="25" t="s">
        <v>97</v>
      </c>
      <c r="B6" s="26">
        <v>4846</v>
      </c>
      <c r="C6" s="26">
        <v>5084</v>
      </c>
      <c r="D6" s="26">
        <v>1345</v>
      </c>
      <c r="E6" s="26">
        <v>794</v>
      </c>
      <c r="F6" s="26">
        <v>1064</v>
      </c>
      <c r="G6" s="26">
        <v>103</v>
      </c>
      <c r="H6" s="26">
        <v>192</v>
      </c>
      <c r="I6" s="26">
        <v>90</v>
      </c>
      <c r="J6" s="26">
        <v>13526</v>
      </c>
      <c r="K6" s="126">
        <v>3795</v>
      </c>
      <c r="L6" s="126">
        <v>4214</v>
      </c>
      <c r="M6" s="126">
        <v>1062</v>
      </c>
      <c r="N6" s="126">
        <v>130</v>
      </c>
      <c r="O6" s="126">
        <v>932</v>
      </c>
      <c r="P6" s="126">
        <v>100</v>
      </c>
      <c r="Q6" s="126">
        <v>152</v>
      </c>
      <c r="R6" s="126">
        <v>68</v>
      </c>
      <c r="S6" s="126">
        <v>10457</v>
      </c>
      <c r="T6" s="126">
        <v>2256</v>
      </c>
      <c r="U6" s="126">
        <v>3024</v>
      </c>
      <c r="V6" s="126">
        <v>805</v>
      </c>
      <c r="W6" s="126">
        <v>115</v>
      </c>
      <c r="X6" s="126">
        <v>656</v>
      </c>
      <c r="Y6" s="126">
        <v>67</v>
      </c>
      <c r="Z6" s="126">
        <v>82</v>
      </c>
      <c r="AA6" s="126">
        <v>45</v>
      </c>
      <c r="AB6" s="126">
        <v>7051</v>
      </c>
    </row>
    <row r="7" spans="1:28" ht="14" x14ac:dyDescent="0.2">
      <c r="A7" s="25" t="s">
        <v>96</v>
      </c>
      <c r="B7" s="26">
        <v>6429</v>
      </c>
      <c r="C7" s="26">
        <v>5985</v>
      </c>
      <c r="D7" s="26">
        <v>4495</v>
      </c>
      <c r="E7" s="26">
        <v>1495</v>
      </c>
      <c r="F7" s="26">
        <v>1518</v>
      </c>
      <c r="G7" s="26">
        <v>218</v>
      </c>
      <c r="H7" s="26">
        <v>354</v>
      </c>
      <c r="I7" s="26">
        <v>132</v>
      </c>
      <c r="J7" s="26">
        <v>20643</v>
      </c>
      <c r="K7" s="126">
        <v>5809</v>
      </c>
      <c r="L7" s="126">
        <v>5504</v>
      </c>
      <c r="M7" s="126">
        <v>4171</v>
      </c>
      <c r="N7" s="126">
        <v>1179</v>
      </c>
      <c r="O7" s="126">
        <v>1469</v>
      </c>
      <c r="P7" s="126">
        <v>213</v>
      </c>
      <c r="Q7" s="126">
        <v>342</v>
      </c>
      <c r="R7" s="126">
        <v>120</v>
      </c>
      <c r="S7" s="126">
        <v>18822</v>
      </c>
      <c r="T7" s="126">
        <v>3737</v>
      </c>
      <c r="U7" s="126">
        <v>4149</v>
      </c>
      <c r="V7" s="126">
        <v>3193</v>
      </c>
      <c r="W7" s="126">
        <v>862</v>
      </c>
      <c r="X7" s="126">
        <v>1113</v>
      </c>
      <c r="Y7" s="126">
        <v>149</v>
      </c>
      <c r="Z7" s="126">
        <v>217</v>
      </c>
      <c r="AA7" s="126">
        <v>84</v>
      </c>
      <c r="AB7" s="126">
        <v>13512</v>
      </c>
    </row>
    <row r="8" spans="1:28" ht="14" x14ac:dyDescent="0.2">
      <c r="A8" s="25" t="s">
        <v>95</v>
      </c>
      <c r="B8" s="26">
        <v>7707</v>
      </c>
      <c r="C8" s="26">
        <v>6434</v>
      </c>
      <c r="D8" s="26">
        <v>4218</v>
      </c>
      <c r="E8" s="26">
        <v>2224</v>
      </c>
      <c r="F8" s="26">
        <v>1906</v>
      </c>
      <c r="G8" s="26">
        <v>337</v>
      </c>
      <c r="H8" s="26">
        <v>456</v>
      </c>
      <c r="I8" s="26">
        <v>135</v>
      </c>
      <c r="J8" s="26">
        <v>23463</v>
      </c>
      <c r="K8" s="126">
        <v>7430</v>
      </c>
      <c r="L8" s="126">
        <v>6258</v>
      </c>
      <c r="M8" s="126">
        <v>4133</v>
      </c>
      <c r="N8" s="126">
        <v>2200</v>
      </c>
      <c r="O8" s="126">
        <v>1881</v>
      </c>
      <c r="P8" s="126">
        <v>329</v>
      </c>
      <c r="Q8" s="126">
        <v>444</v>
      </c>
      <c r="R8" s="126">
        <v>131</v>
      </c>
      <c r="S8" s="126">
        <v>22849</v>
      </c>
      <c r="T8" s="126">
        <v>4549</v>
      </c>
      <c r="U8" s="126">
        <v>4828</v>
      </c>
      <c r="V8" s="126">
        <v>3275</v>
      </c>
      <c r="W8" s="126">
        <v>1612</v>
      </c>
      <c r="X8" s="126">
        <v>1465</v>
      </c>
      <c r="Y8" s="126">
        <v>202</v>
      </c>
      <c r="Z8" s="126">
        <v>297</v>
      </c>
      <c r="AA8" s="126">
        <v>91</v>
      </c>
      <c r="AB8" s="126">
        <v>16343</v>
      </c>
    </row>
    <row r="9" spans="1:28" ht="14" x14ac:dyDescent="0.2">
      <c r="A9" s="25" t="s">
        <v>94</v>
      </c>
      <c r="B9" s="26">
        <v>8326</v>
      </c>
      <c r="C9" s="26">
        <v>6679</v>
      </c>
      <c r="D9" s="26">
        <v>5984</v>
      </c>
      <c r="E9" s="26">
        <v>2869</v>
      </c>
      <c r="F9" s="26">
        <v>2073</v>
      </c>
      <c r="G9" s="26">
        <v>452</v>
      </c>
      <c r="H9" s="26">
        <v>516</v>
      </c>
      <c r="I9" s="26">
        <v>155</v>
      </c>
      <c r="J9" s="26">
        <v>27129</v>
      </c>
      <c r="K9" s="126">
        <v>8246</v>
      </c>
      <c r="L9" s="126">
        <v>6622</v>
      </c>
      <c r="M9" s="126">
        <v>5946</v>
      </c>
      <c r="N9" s="126">
        <v>2869</v>
      </c>
      <c r="O9" s="126">
        <v>2051</v>
      </c>
      <c r="P9" s="126">
        <v>449</v>
      </c>
      <c r="Q9" s="126">
        <v>509</v>
      </c>
      <c r="R9" s="126">
        <v>152</v>
      </c>
      <c r="S9" s="126">
        <v>26917</v>
      </c>
      <c r="T9" s="126">
        <v>5352</v>
      </c>
      <c r="U9" s="126">
        <v>5348</v>
      </c>
      <c r="V9" s="126">
        <v>4839</v>
      </c>
      <c r="W9" s="126">
        <v>2224</v>
      </c>
      <c r="X9" s="126">
        <v>1636</v>
      </c>
      <c r="Y9" s="126">
        <v>284</v>
      </c>
      <c r="Z9" s="126">
        <v>331</v>
      </c>
      <c r="AA9" s="126">
        <v>89</v>
      </c>
      <c r="AB9" s="126">
        <v>20142</v>
      </c>
    </row>
    <row r="10" spans="1:28" ht="14" x14ac:dyDescent="0.2">
      <c r="A10" s="25" t="s">
        <v>93</v>
      </c>
      <c r="B10" s="26">
        <v>9006</v>
      </c>
      <c r="C10" s="26">
        <v>7029</v>
      </c>
      <c r="D10" s="26">
        <v>5493</v>
      </c>
      <c r="E10" s="26">
        <v>3084</v>
      </c>
      <c r="F10" s="26">
        <v>2373</v>
      </c>
      <c r="G10" s="26">
        <v>560</v>
      </c>
      <c r="H10" s="26">
        <v>546</v>
      </c>
      <c r="I10" s="26">
        <v>125</v>
      </c>
      <c r="J10" s="26">
        <v>28374</v>
      </c>
      <c r="K10" s="126">
        <v>8937</v>
      </c>
      <c r="L10" s="126">
        <v>7000</v>
      </c>
      <c r="M10" s="126">
        <v>5420</v>
      </c>
      <c r="N10" s="126">
        <v>3086</v>
      </c>
      <c r="O10" s="126">
        <v>2373</v>
      </c>
      <c r="P10" s="126">
        <v>554</v>
      </c>
      <c r="Q10" s="126">
        <v>541</v>
      </c>
      <c r="R10" s="126">
        <v>123</v>
      </c>
      <c r="S10" s="126">
        <v>28177</v>
      </c>
      <c r="T10" s="126">
        <v>6534</v>
      </c>
      <c r="U10" s="126">
        <v>5728</v>
      </c>
      <c r="V10" s="126">
        <v>4466</v>
      </c>
      <c r="W10" s="126">
        <v>2389</v>
      </c>
      <c r="X10" s="126">
        <v>1870</v>
      </c>
      <c r="Y10" s="126">
        <v>346</v>
      </c>
      <c r="Z10" s="126">
        <v>364</v>
      </c>
      <c r="AA10" s="126">
        <v>67</v>
      </c>
      <c r="AB10" s="126">
        <v>21851</v>
      </c>
    </row>
    <row r="11" spans="1:28" ht="14" x14ac:dyDescent="0.2">
      <c r="A11" s="37" t="s">
        <v>81</v>
      </c>
      <c r="B11" s="93">
        <f>SUM(B5:B10)</f>
        <v>42583</v>
      </c>
      <c r="C11" s="93">
        <f t="shared" ref="C11:N11" si="0">SUM(C5:C10)</f>
        <v>39087</v>
      </c>
      <c r="D11" s="93">
        <f t="shared" si="0"/>
        <v>22300</v>
      </c>
      <c r="E11" s="93">
        <f t="shared" si="0"/>
        <v>10993</v>
      </c>
      <c r="F11" s="93">
        <f t="shared" si="0"/>
        <v>9769</v>
      </c>
      <c r="G11" s="93">
        <f t="shared" si="0"/>
        <v>1683</v>
      </c>
      <c r="H11" s="93">
        <f t="shared" si="0"/>
        <v>2100</v>
      </c>
      <c r="I11" s="93">
        <f t="shared" si="0"/>
        <v>687</v>
      </c>
      <c r="J11" s="93">
        <f t="shared" si="0"/>
        <v>129515</v>
      </c>
      <c r="K11" s="93">
        <f t="shared" si="0"/>
        <v>37525</v>
      </c>
      <c r="L11" s="93">
        <f t="shared" si="0"/>
        <v>33182</v>
      </c>
      <c r="M11" s="93">
        <f t="shared" si="0"/>
        <v>21119</v>
      </c>
      <c r="N11" s="93">
        <f t="shared" si="0"/>
        <v>9492</v>
      </c>
      <c r="O11" s="93">
        <f t="shared" ref="O11" si="1">SUM(O5:O10)</f>
        <v>8981</v>
      </c>
      <c r="P11" s="93">
        <f t="shared" ref="P11" si="2">SUM(P5:P10)</f>
        <v>1657</v>
      </c>
      <c r="Q11" s="93">
        <f t="shared" ref="Q11" si="3">SUM(Q5:Q10)</f>
        <v>1998</v>
      </c>
      <c r="R11" s="93">
        <f t="shared" ref="R11" si="4">SUM(R5:R10)</f>
        <v>606</v>
      </c>
      <c r="S11" s="93">
        <f t="shared" ref="S11" si="5">SUM(S5:S10)</f>
        <v>114842</v>
      </c>
      <c r="T11" s="93">
        <f t="shared" ref="T11" si="6">SUM(T5:T10)</f>
        <v>24333</v>
      </c>
      <c r="U11" s="93">
        <f t="shared" ref="U11" si="7">SUM(U5:U10)</f>
        <v>25398</v>
      </c>
      <c r="V11" s="93">
        <f t="shared" ref="V11" si="8">SUM(V5:V10)</f>
        <v>16865</v>
      </c>
      <c r="W11" s="93">
        <f t="shared" ref="W11" si="9">SUM(W5:W10)</f>
        <v>7225</v>
      </c>
      <c r="X11" s="93">
        <f t="shared" ref="X11" si="10">SUM(X5:X10)</f>
        <v>6931</v>
      </c>
      <c r="Y11" s="93">
        <f t="shared" ref="Y11:Z11" si="11">SUM(Y5:Y10)</f>
        <v>1057</v>
      </c>
      <c r="Z11" s="93">
        <f t="shared" si="11"/>
        <v>1296</v>
      </c>
      <c r="AA11" s="93">
        <f t="shared" ref="AA11" si="12">SUM(AA5:AA10)</f>
        <v>382</v>
      </c>
      <c r="AB11" s="93">
        <f t="shared" ref="AB11" si="13">SUM(AB5:AB10)</f>
        <v>83647</v>
      </c>
    </row>
    <row r="12" spans="1:28" ht="14" x14ac:dyDescent="0.2">
      <c r="A12" s="94"/>
      <c r="B12" s="90"/>
      <c r="C12" s="90"/>
      <c r="D12" s="90"/>
      <c r="E12" s="90"/>
      <c r="F12" s="90"/>
      <c r="G12" s="90"/>
      <c r="H12" s="90"/>
      <c r="I12" s="90">
        <f>SUM(B5:I5)</f>
        <v>16371</v>
      </c>
      <c r="J12" s="90"/>
      <c r="K12" s="90"/>
      <c r="L12" s="90"/>
      <c r="M12" s="90"/>
      <c r="N12" s="90"/>
      <c r="O12" s="90"/>
      <c r="P12" s="90"/>
      <c r="Q12" s="90"/>
      <c r="R12" s="90"/>
      <c r="S12" s="90"/>
      <c r="T12" s="90"/>
      <c r="U12" s="90"/>
      <c r="V12" s="90"/>
      <c r="W12" s="90"/>
      <c r="X12" s="90"/>
      <c r="Y12" s="90"/>
      <c r="Z12" s="90"/>
    </row>
    <row r="13" spans="1:28" ht="14" x14ac:dyDescent="0.2">
      <c r="A13" s="89"/>
      <c r="B13" s="78"/>
      <c r="C13" s="78"/>
      <c r="D13" s="81"/>
      <c r="E13" s="81"/>
      <c r="F13" s="78"/>
      <c r="G13" s="78"/>
      <c r="H13" s="78"/>
      <c r="I13" s="78"/>
      <c r="J13" s="78"/>
      <c r="K13" s="81"/>
      <c r="L13" s="78"/>
      <c r="M13" s="78"/>
      <c r="N13" s="78"/>
      <c r="O13" s="82"/>
      <c r="P13" s="82"/>
      <c r="Q13" s="82"/>
      <c r="R13" s="191"/>
      <c r="S13" s="82"/>
      <c r="T13" s="82"/>
      <c r="U13" s="82"/>
      <c r="V13" s="82"/>
      <c r="W13" s="82"/>
      <c r="X13" s="82"/>
      <c r="Y13" s="82"/>
      <c r="Z13" s="82"/>
    </row>
    <row r="14" spans="1:28" ht="19" x14ac:dyDescent="0.25">
      <c r="A14" s="14" t="s">
        <v>205</v>
      </c>
      <c r="R14" s="82"/>
      <c r="S14" s="82"/>
      <c r="T14" s="82"/>
      <c r="U14" s="82"/>
      <c r="V14" s="82"/>
      <c r="W14" s="82"/>
      <c r="X14" s="82"/>
      <c r="Y14" s="82"/>
      <c r="Z14" s="82"/>
    </row>
    <row r="15" spans="1:28" ht="16" x14ac:dyDescent="0.2">
      <c r="A15" s="77"/>
      <c r="B15" s="217" t="s">
        <v>103</v>
      </c>
      <c r="C15" s="217"/>
      <c r="D15" s="217"/>
      <c r="E15" s="217"/>
      <c r="F15" s="217"/>
      <c r="G15" s="217"/>
      <c r="H15" s="217"/>
      <c r="I15" s="217"/>
      <c r="J15" s="217"/>
      <c r="K15" s="219" t="s">
        <v>120</v>
      </c>
      <c r="L15" s="220"/>
      <c r="M15" s="220"/>
      <c r="N15" s="220"/>
      <c r="O15" s="220"/>
      <c r="P15" s="220"/>
      <c r="Q15" s="220"/>
      <c r="R15" s="220"/>
      <c r="S15" s="220"/>
      <c r="T15" s="82"/>
      <c r="U15" s="82"/>
      <c r="V15" s="82"/>
      <c r="W15" s="82"/>
      <c r="X15" s="82"/>
      <c r="Y15" s="82"/>
      <c r="Z15" s="82"/>
    </row>
    <row r="16" spans="1:28" ht="15" x14ac:dyDescent="0.2">
      <c r="A16" s="28" t="s">
        <v>117</v>
      </c>
      <c r="B16" s="175" t="s">
        <v>175</v>
      </c>
      <c r="C16" s="115" t="s">
        <v>88</v>
      </c>
      <c r="D16" s="115" t="s">
        <v>89</v>
      </c>
      <c r="E16" s="115" t="s">
        <v>90</v>
      </c>
      <c r="F16" s="175" t="s">
        <v>176</v>
      </c>
      <c r="G16" s="115" t="s">
        <v>91</v>
      </c>
      <c r="H16" s="175" t="s">
        <v>177</v>
      </c>
      <c r="I16" s="175" t="s">
        <v>178</v>
      </c>
      <c r="J16" s="115" t="s">
        <v>92</v>
      </c>
      <c r="K16" s="175" t="s">
        <v>175</v>
      </c>
      <c r="L16" s="115" t="s">
        <v>88</v>
      </c>
      <c r="M16" s="115" t="s">
        <v>89</v>
      </c>
      <c r="N16" s="115" t="s">
        <v>90</v>
      </c>
      <c r="O16" s="175" t="s">
        <v>176</v>
      </c>
      <c r="P16" s="115" t="s">
        <v>91</v>
      </c>
      <c r="Q16" s="175" t="s">
        <v>177</v>
      </c>
      <c r="R16" s="175" t="s">
        <v>178</v>
      </c>
      <c r="S16" s="115" t="s">
        <v>92</v>
      </c>
      <c r="T16" s="82"/>
      <c r="U16" s="82"/>
      <c r="V16" s="82"/>
      <c r="W16" s="82"/>
      <c r="X16" s="82"/>
      <c r="Y16" s="82"/>
      <c r="Z16" s="82"/>
    </row>
    <row r="17" spans="1:26" ht="14" x14ac:dyDescent="0.2">
      <c r="A17" s="25" t="s">
        <v>112</v>
      </c>
      <c r="B17" s="31">
        <f t="shared" ref="B17:B23" si="14">K5/B5</f>
        <v>0.52767586536927735</v>
      </c>
      <c r="C17" s="31">
        <f t="shared" ref="C17:C23" si="15">L5/C5</f>
        <v>0.45505332656170644</v>
      </c>
      <c r="D17" s="31">
        <f t="shared" ref="D17:D23" si="16">M5/D5</f>
        <v>0.50588235294117645</v>
      </c>
      <c r="E17" s="31">
        <f t="shared" ref="E17:E23" si="17">N5/E5</f>
        <v>5.3130929791271347E-2</v>
      </c>
      <c r="F17" s="31">
        <f t="shared" ref="F17:F23" si="18">O5/F5</f>
        <v>0.32934131736526945</v>
      </c>
      <c r="G17" s="31">
        <f t="shared" ref="G17:G23" si="19">P5/G5</f>
        <v>0.92307692307692313</v>
      </c>
      <c r="H17" s="31">
        <f t="shared" ref="H17:H23" si="20">Q5/H5</f>
        <v>0.27777777777777779</v>
      </c>
      <c r="I17" s="31">
        <f t="shared" ref="I17:I23" si="21">R5/I5</f>
        <v>0.24</v>
      </c>
      <c r="J17" s="31">
        <f t="shared" ref="J17:J23" si="22">S5/J5</f>
        <v>0.46520146520146521</v>
      </c>
      <c r="K17" s="31">
        <f>T5/K5</f>
        <v>0.57587666263603388</v>
      </c>
      <c r="L17" s="31">
        <f t="shared" ref="L17:S23" si="23">U5/L5</f>
        <v>0.6476004464285714</v>
      </c>
      <c r="M17" s="31">
        <f t="shared" si="23"/>
        <v>0.74160206718346255</v>
      </c>
      <c r="N17" s="31">
        <f t="shared" si="23"/>
        <v>0.8214285714285714</v>
      </c>
      <c r="O17" s="31">
        <f t="shared" si="23"/>
        <v>0.69454545454545458</v>
      </c>
      <c r="P17" s="31">
        <f t="shared" si="23"/>
        <v>0.75</v>
      </c>
      <c r="Q17" s="31">
        <f t="shared" si="23"/>
        <v>0.5</v>
      </c>
      <c r="R17" s="31">
        <f t="shared" si="23"/>
        <v>0.5</v>
      </c>
      <c r="S17" s="31">
        <f t="shared" si="23"/>
        <v>0.62309711286089242</v>
      </c>
      <c r="T17" s="82"/>
      <c r="U17" s="82"/>
      <c r="V17" s="82"/>
      <c r="W17" s="82"/>
      <c r="X17" s="82"/>
      <c r="Y17" s="82"/>
      <c r="Z17" s="82"/>
    </row>
    <row r="18" spans="1:26" ht="14" x14ac:dyDescent="0.2">
      <c r="A18" s="25" t="s">
        <v>97</v>
      </c>
      <c r="B18" s="31">
        <f t="shared" si="14"/>
        <v>0.78312009905076352</v>
      </c>
      <c r="C18" s="31">
        <f t="shared" si="15"/>
        <v>0.82887490165224231</v>
      </c>
      <c r="D18" s="31">
        <f t="shared" si="16"/>
        <v>0.78959107806691453</v>
      </c>
      <c r="E18" s="31">
        <f t="shared" si="17"/>
        <v>0.16372795969773299</v>
      </c>
      <c r="F18" s="31">
        <f t="shared" si="18"/>
        <v>0.87593984962406013</v>
      </c>
      <c r="G18" s="31">
        <f t="shared" si="19"/>
        <v>0.970873786407767</v>
      </c>
      <c r="H18" s="31">
        <f t="shared" si="20"/>
        <v>0.79166666666666663</v>
      </c>
      <c r="I18" s="31">
        <f t="shared" si="21"/>
        <v>0.75555555555555554</v>
      </c>
      <c r="J18" s="31">
        <f t="shared" si="22"/>
        <v>0.77310365222534383</v>
      </c>
      <c r="K18" s="31">
        <f t="shared" ref="K18:K23" si="24">T6/K6</f>
        <v>0.59446640316205535</v>
      </c>
      <c r="L18" s="31">
        <f t="shared" si="23"/>
        <v>0.71760797342192695</v>
      </c>
      <c r="M18" s="31">
        <f t="shared" si="23"/>
        <v>0.75800376647834278</v>
      </c>
      <c r="N18" s="31">
        <f t="shared" si="23"/>
        <v>0.88461538461538458</v>
      </c>
      <c r="O18" s="31">
        <f t="shared" si="23"/>
        <v>0.70386266094420602</v>
      </c>
      <c r="P18" s="31">
        <f t="shared" si="23"/>
        <v>0.67</v>
      </c>
      <c r="Q18" s="31">
        <f t="shared" si="23"/>
        <v>0.53947368421052633</v>
      </c>
      <c r="R18" s="31">
        <f t="shared" si="23"/>
        <v>0.66176470588235292</v>
      </c>
      <c r="S18" s="31">
        <f t="shared" si="23"/>
        <v>0.67428516783016157</v>
      </c>
      <c r="T18" s="82"/>
      <c r="U18" s="82"/>
      <c r="V18" s="82"/>
      <c r="W18" s="82"/>
      <c r="X18" s="82"/>
      <c r="Y18" s="82"/>
      <c r="Z18" s="82"/>
    </row>
    <row r="19" spans="1:26" ht="14" x14ac:dyDescent="0.2">
      <c r="A19" s="25" t="s">
        <v>96</v>
      </c>
      <c r="B19" s="31">
        <f t="shared" si="14"/>
        <v>0.90356198475657179</v>
      </c>
      <c r="C19" s="31">
        <f t="shared" si="15"/>
        <v>0.91963241436925647</v>
      </c>
      <c r="D19" s="31">
        <f t="shared" si="16"/>
        <v>0.92791991101223581</v>
      </c>
      <c r="E19" s="31">
        <f t="shared" si="17"/>
        <v>0.78862876254180603</v>
      </c>
      <c r="F19" s="31">
        <f t="shared" si="18"/>
        <v>0.9677206851119895</v>
      </c>
      <c r="G19" s="31">
        <f t="shared" si="19"/>
        <v>0.97706422018348627</v>
      </c>
      <c r="H19" s="31">
        <f t="shared" si="20"/>
        <v>0.96610169491525422</v>
      </c>
      <c r="I19" s="31">
        <f t="shared" si="21"/>
        <v>0.90909090909090906</v>
      </c>
      <c r="J19" s="31">
        <f t="shared" si="22"/>
        <v>0.9117860776049993</v>
      </c>
      <c r="K19" s="31">
        <f t="shared" si="24"/>
        <v>0.64331210191082799</v>
      </c>
      <c r="L19" s="31">
        <f t="shared" si="23"/>
        <v>0.75381540697674421</v>
      </c>
      <c r="M19" s="31">
        <f t="shared" si="23"/>
        <v>0.76552385519060173</v>
      </c>
      <c r="N19" s="31">
        <f t="shared" si="23"/>
        <v>0.73112807463952501</v>
      </c>
      <c r="O19" s="31">
        <f t="shared" si="23"/>
        <v>0.75765827093260718</v>
      </c>
      <c r="P19" s="31">
        <f t="shared" si="23"/>
        <v>0.69953051643192488</v>
      </c>
      <c r="Q19" s="31">
        <f t="shared" si="23"/>
        <v>0.63450292397660824</v>
      </c>
      <c r="R19" s="31">
        <f t="shared" si="23"/>
        <v>0.7</v>
      </c>
      <c r="S19" s="31">
        <f t="shared" si="23"/>
        <v>0.71788332802040167</v>
      </c>
      <c r="T19" s="82"/>
      <c r="U19" s="82"/>
      <c r="V19" s="82"/>
      <c r="W19" s="82"/>
      <c r="X19" s="82"/>
      <c r="Y19" s="82"/>
      <c r="Z19" s="82"/>
    </row>
    <row r="20" spans="1:26" ht="14" x14ac:dyDescent="0.2">
      <c r="A20" s="25" t="s">
        <v>95</v>
      </c>
      <c r="B20" s="31">
        <f t="shared" si="14"/>
        <v>0.96405864798235374</v>
      </c>
      <c r="C20" s="31">
        <f t="shared" si="15"/>
        <v>0.9726453217283183</v>
      </c>
      <c r="D20" s="31">
        <f t="shared" si="16"/>
        <v>0.97984826932195357</v>
      </c>
      <c r="E20" s="31">
        <f t="shared" si="17"/>
        <v>0.98920863309352514</v>
      </c>
      <c r="F20" s="31">
        <f t="shared" si="18"/>
        <v>0.98688352570828963</v>
      </c>
      <c r="G20" s="31">
        <f t="shared" si="19"/>
        <v>0.97626112759643913</v>
      </c>
      <c r="H20" s="31">
        <f t="shared" si="20"/>
        <v>0.97368421052631582</v>
      </c>
      <c r="I20" s="31">
        <f t="shared" si="21"/>
        <v>0.97037037037037033</v>
      </c>
      <c r="J20" s="31">
        <f t="shared" si="22"/>
        <v>0.97383113838810043</v>
      </c>
      <c r="K20" s="31">
        <f t="shared" si="24"/>
        <v>0.61224764468371462</v>
      </c>
      <c r="L20" s="31">
        <f t="shared" si="23"/>
        <v>0.77149248961329497</v>
      </c>
      <c r="M20" s="31">
        <f t="shared" si="23"/>
        <v>0.79240261311396076</v>
      </c>
      <c r="N20" s="31">
        <f t="shared" si="23"/>
        <v>0.73272727272727278</v>
      </c>
      <c r="O20" s="31">
        <f t="shared" si="23"/>
        <v>0.77884104199893678</v>
      </c>
      <c r="P20" s="31">
        <f t="shared" si="23"/>
        <v>0.61398176291793316</v>
      </c>
      <c r="Q20" s="31">
        <f t="shared" si="23"/>
        <v>0.66891891891891897</v>
      </c>
      <c r="R20" s="31">
        <f t="shared" si="23"/>
        <v>0.69465648854961837</v>
      </c>
      <c r="S20" s="31">
        <f t="shared" si="23"/>
        <v>0.71526106175324955</v>
      </c>
      <c r="T20" s="82"/>
      <c r="U20" s="82"/>
      <c r="V20" s="82"/>
      <c r="W20" s="82"/>
      <c r="X20" s="82"/>
      <c r="Y20" s="82"/>
      <c r="Z20" s="82"/>
    </row>
    <row r="21" spans="1:26" ht="14" x14ac:dyDescent="0.2">
      <c r="A21" s="25" t="s">
        <v>94</v>
      </c>
      <c r="B21" s="31">
        <f t="shared" si="14"/>
        <v>0.99039154455921208</v>
      </c>
      <c r="C21" s="31">
        <f t="shared" si="15"/>
        <v>0.99146578829166043</v>
      </c>
      <c r="D21" s="31">
        <f t="shared" si="16"/>
        <v>0.99364973262032086</v>
      </c>
      <c r="E21" s="31">
        <f t="shared" si="17"/>
        <v>1</v>
      </c>
      <c r="F21" s="31">
        <f t="shared" si="18"/>
        <v>0.98938736131210803</v>
      </c>
      <c r="G21" s="31">
        <f t="shared" si="19"/>
        <v>0.99336283185840712</v>
      </c>
      <c r="H21" s="31">
        <f t="shared" si="20"/>
        <v>0.98643410852713176</v>
      </c>
      <c r="I21" s="31">
        <f t="shared" si="21"/>
        <v>0.98064516129032253</v>
      </c>
      <c r="J21" s="31">
        <f t="shared" si="22"/>
        <v>0.99218548416823327</v>
      </c>
      <c r="K21" s="31">
        <f t="shared" si="24"/>
        <v>0.64904195973805479</v>
      </c>
      <c r="L21" s="31">
        <f t="shared" si="23"/>
        <v>0.80761099365750533</v>
      </c>
      <c r="M21" s="31">
        <f t="shared" si="23"/>
        <v>0.81382441977800202</v>
      </c>
      <c r="N21" s="31">
        <f t="shared" si="23"/>
        <v>0.77518299058905538</v>
      </c>
      <c r="O21" s="31">
        <f t="shared" si="23"/>
        <v>0.79765967820575334</v>
      </c>
      <c r="P21" s="31">
        <f t="shared" si="23"/>
        <v>0.63251670378619151</v>
      </c>
      <c r="Q21" s="31">
        <f t="shared" si="23"/>
        <v>0.650294695481336</v>
      </c>
      <c r="R21" s="31">
        <f t="shared" si="23"/>
        <v>0.58552631578947367</v>
      </c>
      <c r="S21" s="31">
        <f t="shared" si="23"/>
        <v>0.74830033064606016</v>
      </c>
      <c r="T21" s="82"/>
      <c r="U21" s="82"/>
      <c r="V21" s="82"/>
      <c r="W21" s="82"/>
      <c r="X21" s="82"/>
      <c r="Y21" s="82"/>
      <c r="Z21" s="82"/>
    </row>
    <row r="22" spans="1:26" ht="14" x14ac:dyDescent="0.2">
      <c r="A22" s="25" t="s">
        <v>93</v>
      </c>
      <c r="B22" s="31">
        <f t="shared" si="14"/>
        <v>0.99233844103930713</v>
      </c>
      <c r="C22" s="31">
        <f t="shared" si="15"/>
        <v>0.99587423531085506</v>
      </c>
      <c r="D22" s="31">
        <f t="shared" si="16"/>
        <v>0.98671035863826684</v>
      </c>
      <c r="E22" s="31">
        <f t="shared" si="17"/>
        <v>1.0006485084306096</v>
      </c>
      <c r="F22" s="31">
        <f t="shared" si="18"/>
        <v>1</v>
      </c>
      <c r="G22" s="31">
        <f t="shared" si="19"/>
        <v>0.98928571428571432</v>
      </c>
      <c r="H22" s="31">
        <f t="shared" si="20"/>
        <v>0.99084249084249088</v>
      </c>
      <c r="I22" s="31">
        <f t="shared" si="21"/>
        <v>0.98399999999999999</v>
      </c>
      <c r="J22" s="31">
        <f t="shared" si="22"/>
        <v>0.99305702403608942</v>
      </c>
      <c r="K22" s="31">
        <f t="shared" si="24"/>
        <v>0.73111782477341392</v>
      </c>
      <c r="L22" s="31">
        <f t="shared" si="23"/>
        <v>0.81828571428571428</v>
      </c>
      <c r="M22" s="31">
        <f t="shared" si="23"/>
        <v>0.82398523985239858</v>
      </c>
      <c r="N22" s="31">
        <f t="shared" si="23"/>
        <v>0.77414128321451714</v>
      </c>
      <c r="O22" s="31">
        <f t="shared" si="23"/>
        <v>0.78803202697008001</v>
      </c>
      <c r="P22" s="31">
        <f t="shared" si="23"/>
        <v>0.62454873646209386</v>
      </c>
      <c r="Q22" s="31">
        <f t="shared" si="23"/>
        <v>0.67282809611829941</v>
      </c>
      <c r="R22" s="31">
        <f t="shared" si="23"/>
        <v>0.54471544715447151</v>
      </c>
      <c r="S22" s="31">
        <f t="shared" si="23"/>
        <v>0.77549064840117832</v>
      </c>
      <c r="T22" s="82"/>
      <c r="U22" s="82"/>
      <c r="V22" s="82"/>
      <c r="W22" s="82"/>
      <c r="X22" s="82"/>
      <c r="Y22" s="82"/>
      <c r="Z22" s="82"/>
    </row>
    <row r="23" spans="1:26" s="82" customFormat="1" ht="14" x14ac:dyDescent="0.2">
      <c r="A23" s="37" t="s">
        <v>98</v>
      </c>
      <c r="B23" s="50">
        <f t="shared" si="14"/>
        <v>0.88122020524622502</v>
      </c>
      <c r="C23" s="50">
        <f t="shared" si="15"/>
        <v>0.84892675314043031</v>
      </c>
      <c r="D23" s="50">
        <f t="shared" si="16"/>
        <v>0.94704035874439463</v>
      </c>
      <c r="E23" s="50">
        <f t="shared" si="17"/>
        <v>0.86345856454107162</v>
      </c>
      <c r="F23" s="50">
        <f t="shared" si="18"/>
        <v>0.91933667724434431</v>
      </c>
      <c r="G23" s="50">
        <f t="shared" si="19"/>
        <v>0.98455139631610222</v>
      </c>
      <c r="H23" s="50">
        <f t="shared" si="20"/>
        <v>0.9514285714285714</v>
      </c>
      <c r="I23" s="50">
        <f t="shared" si="21"/>
        <v>0.88209606986899558</v>
      </c>
      <c r="J23" s="50">
        <f t="shared" si="22"/>
        <v>0.88670810330849703</v>
      </c>
      <c r="K23" s="50">
        <f t="shared" si="24"/>
        <v>0.64844770153231179</v>
      </c>
      <c r="L23" s="50">
        <f t="shared" si="23"/>
        <v>0.76541498402748476</v>
      </c>
      <c r="M23" s="50">
        <f t="shared" si="23"/>
        <v>0.79857000804962353</v>
      </c>
      <c r="N23" s="50">
        <f t="shared" si="23"/>
        <v>0.76116729877791822</v>
      </c>
      <c r="O23" s="50">
        <f t="shared" si="23"/>
        <v>0.77174034071929631</v>
      </c>
      <c r="P23" s="50">
        <f t="shared" si="23"/>
        <v>0.63789981894990944</v>
      </c>
      <c r="Q23" s="50">
        <f t="shared" si="23"/>
        <v>0.64864864864864868</v>
      </c>
      <c r="R23" s="50">
        <f t="shared" si="23"/>
        <v>0.63036303630363033</v>
      </c>
      <c r="S23" s="50">
        <f t="shared" si="23"/>
        <v>0.72836592884136464</v>
      </c>
    </row>
    <row r="24" spans="1:26" s="82" customFormat="1" ht="14" x14ac:dyDescent="0.2">
      <c r="A24" s="86" t="s">
        <v>125</v>
      </c>
      <c r="B24" s="78"/>
      <c r="C24" s="78"/>
      <c r="D24" s="81"/>
      <c r="E24" s="81"/>
      <c r="F24" s="78"/>
      <c r="G24" s="78"/>
      <c r="H24" s="78"/>
      <c r="I24" s="78"/>
      <c r="J24" s="78"/>
      <c r="K24" s="81"/>
      <c r="L24" s="78"/>
      <c r="M24" s="78"/>
      <c r="N24" s="78"/>
    </row>
    <row r="25" spans="1:26" s="82" customFormat="1" ht="14" x14ac:dyDescent="0.2">
      <c r="A25" s="86" t="s">
        <v>128</v>
      </c>
      <c r="B25" s="86"/>
      <c r="C25" s="86"/>
      <c r="D25" s="86"/>
      <c r="E25" s="86"/>
      <c r="F25" s="86"/>
      <c r="G25" s="86"/>
      <c r="H25" s="86"/>
      <c r="I25" s="86"/>
      <c r="J25" s="138"/>
      <c r="K25" s="139"/>
      <c r="L25" s="140"/>
      <c r="M25" s="140"/>
      <c r="N25" s="140"/>
      <c r="O25" s="140"/>
      <c r="P25" s="140"/>
      <c r="Q25" s="216"/>
    </row>
    <row r="26" spans="1:26" x14ac:dyDescent="0.15">
      <c r="A26" s="176" t="s">
        <v>180</v>
      </c>
      <c r="J26" s="140"/>
      <c r="K26" s="141"/>
      <c r="L26" s="141"/>
      <c r="M26" s="141"/>
      <c r="N26" s="141"/>
      <c r="O26" s="141"/>
      <c r="P26" s="141"/>
      <c r="Q26" s="216"/>
    </row>
    <row r="27" spans="1:26" x14ac:dyDescent="0.15">
      <c r="E27" s="2"/>
      <c r="F27"/>
      <c r="G27"/>
      <c r="H27"/>
      <c r="I27"/>
      <c r="J27" s="141"/>
      <c r="K27" s="142"/>
      <c r="L27" s="142"/>
      <c r="M27" s="142"/>
      <c r="N27" s="142"/>
      <c r="O27" s="142"/>
      <c r="P27" s="142"/>
      <c r="Q27" s="142"/>
    </row>
  </sheetData>
  <mergeCells count="6">
    <mergeCell ref="T3:AB3"/>
    <mergeCell ref="Q25:Q26"/>
    <mergeCell ref="B15:J15"/>
    <mergeCell ref="B3:J3"/>
    <mergeCell ref="K3:S3"/>
    <mergeCell ref="K15:S15"/>
  </mergeCells>
  <phoneticPr fontId="5" type="noConversion"/>
  <hyperlinks>
    <hyperlink ref="A1" location="Contents!A1" display="&lt;Back to contents&gt;"/>
  </hyperlinks>
  <pageMargins left="0.39370078740157483" right="0.39370078740157483" top="0.39370078740157483" bottom="0.39370078740157483" header="0" footer="0"/>
  <pageSetup paperSize="8" orientation="landscape"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92D050"/>
    <pageSetUpPr fitToPage="1"/>
  </sheetPr>
  <dimension ref="A1:K27"/>
  <sheetViews>
    <sheetView workbookViewId="0">
      <pane xSplit="1" topLeftCell="B1" activePane="topRight" state="frozen"/>
      <selection pane="topRight" activeCell="G40" sqref="G40"/>
    </sheetView>
  </sheetViews>
  <sheetFormatPr baseColWidth="10" defaultColWidth="8.83203125" defaultRowHeight="13" x14ac:dyDescent="0.15"/>
  <cols>
    <col min="1" max="1" width="31.6640625" customWidth="1"/>
    <col min="2" max="10" width="16.5" customWidth="1"/>
  </cols>
  <sheetData>
    <row r="1" spans="1:11" s="82" customFormat="1" ht="14" x14ac:dyDescent="0.2">
      <c r="A1" s="99" t="s">
        <v>56</v>
      </c>
      <c r="B1" s="100"/>
      <c r="C1" s="100"/>
      <c r="D1" s="100"/>
      <c r="E1" s="100"/>
      <c r="F1" s="100"/>
      <c r="G1" s="100"/>
      <c r="H1" s="100"/>
      <c r="I1" s="100"/>
      <c r="J1" s="100"/>
      <c r="K1" s="100"/>
    </row>
    <row r="2" spans="1:11" ht="19" x14ac:dyDescent="0.25">
      <c r="A2" s="68" t="s">
        <v>199</v>
      </c>
      <c r="B2" s="62"/>
      <c r="C2" s="62"/>
      <c r="D2" s="62"/>
      <c r="E2" s="62"/>
      <c r="F2" s="62"/>
      <c r="G2" s="62"/>
      <c r="H2" s="62"/>
      <c r="I2" s="62"/>
      <c r="J2" s="62"/>
      <c r="K2" s="42"/>
    </row>
    <row r="3" spans="1:11" ht="16" x14ac:dyDescent="0.2">
      <c r="A3" s="41"/>
      <c r="B3" s="202" t="s">
        <v>99</v>
      </c>
      <c r="C3" s="201"/>
      <c r="D3" s="203"/>
      <c r="E3" s="202" t="s">
        <v>100</v>
      </c>
      <c r="F3" s="201"/>
      <c r="G3" s="203"/>
      <c r="H3" s="202" t="s">
        <v>127</v>
      </c>
      <c r="I3" s="201"/>
      <c r="J3" s="201"/>
    </row>
    <row r="4" spans="1:11" ht="15.75" customHeight="1" x14ac:dyDescent="0.2">
      <c r="A4" s="57" t="s">
        <v>117</v>
      </c>
      <c r="B4" s="57" t="s">
        <v>74</v>
      </c>
      <c r="C4" s="57" t="s">
        <v>73</v>
      </c>
      <c r="D4" s="57" t="s">
        <v>72</v>
      </c>
      <c r="E4" s="57" t="s">
        <v>74</v>
      </c>
      <c r="F4" s="57" t="s">
        <v>73</v>
      </c>
      <c r="G4" s="57" t="s">
        <v>72</v>
      </c>
      <c r="H4" s="57" t="s">
        <v>74</v>
      </c>
      <c r="I4" s="57" t="s">
        <v>73</v>
      </c>
      <c r="J4" s="57" t="s">
        <v>72</v>
      </c>
    </row>
    <row r="5" spans="1:11" ht="13.5" customHeight="1" x14ac:dyDescent="0.2">
      <c r="A5" s="69" t="s">
        <v>112</v>
      </c>
      <c r="B5" s="70">
        <v>4915</v>
      </c>
      <c r="C5" s="70">
        <v>9087</v>
      </c>
      <c r="D5" s="70">
        <v>2343</v>
      </c>
      <c r="E5" s="70">
        <v>2382</v>
      </c>
      <c r="F5" s="70">
        <v>4318</v>
      </c>
      <c r="G5" s="70">
        <v>902</v>
      </c>
      <c r="H5" s="70">
        <v>1505</v>
      </c>
      <c r="I5" s="70">
        <v>2683</v>
      </c>
      <c r="J5" s="70">
        <v>550</v>
      </c>
    </row>
    <row r="6" spans="1:11" ht="14" x14ac:dyDescent="0.2">
      <c r="A6" s="69" t="s">
        <v>97</v>
      </c>
      <c r="B6" s="70">
        <v>3335</v>
      </c>
      <c r="C6" s="70">
        <v>7540</v>
      </c>
      <c r="D6" s="70">
        <v>2615</v>
      </c>
      <c r="E6" s="70">
        <v>2685</v>
      </c>
      <c r="F6" s="70">
        <v>5891</v>
      </c>
      <c r="G6" s="70">
        <v>1861</v>
      </c>
      <c r="H6" s="70">
        <v>1799</v>
      </c>
      <c r="I6" s="70">
        <v>4008</v>
      </c>
      <c r="J6" s="70">
        <v>1231</v>
      </c>
    </row>
    <row r="7" spans="1:11" ht="14" x14ac:dyDescent="0.2">
      <c r="A7" s="69" t="s">
        <v>96</v>
      </c>
      <c r="B7" s="70">
        <v>4673</v>
      </c>
      <c r="C7" s="70">
        <v>11258</v>
      </c>
      <c r="D7" s="70">
        <v>4669</v>
      </c>
      <c r="E7" s="70">
        <v>4391</v>
      </c>
      <c r="F7" s="70">
        <v>10364</v>
      </c>
      <c r="G7" s="70">
        <v>4028</v>
      </c>
      <c r="H7" s="70">
        <v>3163</v>
      </c>
      <c r="I7" s="70">
        <v>7475</v>
      </c>
      <c r="J7" s="70">
        <v>2851</v>
      </c>
    </row>
    <row r="8" spans="1:11" ht="14" x14ac:dyDescent="0.2">
      <c r="A8" s="69" t="s">
        <v>95</v>
      </c>
      <c r="B8" s="70">
        <v>4532</v>
      </c>
      <c r="C8" s="70">
        <v>12276</v>
      </c>
      <c r="D8" s="70">
        <v>6555</v>
      </c>
      <c r="E8" s="70">
        <v>4461</v>
      </c>
      <c r="F8" s="70">
        <v>11986</v>
      </c>
      <c r="G8" s="70">
        <v>6305</v>
      </c>
      <c r="H8" s="70">
        <v>3138</v>
      </c>
      <c r="I8" s="70">
        <v>8573</v>
      </c>
      <c r="J8" s="70">
        <v>4575</v>
      </c>
    </row>
    <row r="9" spans="1:11" ht="14" x14ac:dyDescent="0.2">
      <c r="A9" s="69" t="s">
        <v>94</v>
      </c>
      <c r="B9" s="70">
        <v>4236</v>
      </c>
      <c r="C9" s="70">
        <v>13416</v>
      </c>
      <c r="D9" s="70">
        <v>9347</v>
      </c>
      <c r="E9" s="70">
        <v>4214</v>
      </c>
      <c r="F9" s="70">
        <v>13330</v>
      </c>
      <c r="G9" s="70">
        <v>9245</v>
      </c>
      <c r="H9" s="70">
        <v>3104</v>
      </c>
      <c r="I9" s="70">
        <v>9891</v>
      </c>
      <c r="J9" s="70">
        <v>7073</v>
      </c>
    </row>
    <row r="10" spans="1:11" ht="14" x14ac:dyDescent="0.2">
      <c r="A10" s="69" t="s">
        <v>93</v>
      </c>
      <c r="B10" s="70">
        <v>3092</v>
      </c>
      <c r="C10" s="70">
        <v>11684</v>
      </c>
      <c r="D10" s="70">
        <v>13402</v>
      </c>
      <c r="E10" s="70">
        <v>3062</v>
      </c>
      <c r="F10" s="70">
        <v>11607</v>
      </c>
      <c r="G10" s="70">
        <v>13326</v>
      </c>
      <c r="H10" s="70">
        <v>2342</v>
      </c>
      <c r="I10" s="70">
        <v>9044</v>
      </c>
      <c r="J10" s="70">
        <v>10352</v>
      </c>
    </row>
    <row r="11" spans="1:11" ht="13.5" customHeight="1" x14ac:dyDescent="0.2">
      <c r="A11" s="63" t="s">
        <v>182</v>
      </c>
      <c r="B11" s="71">
        <f>SUM(B5:B10)</f>
        <v>24783</v>
      </c>
      <c r="C11" s="71">
        <f t="shared" ref="C11:J11" si="0">SUM(C5:C10)</f>
        <v>65261</v>
      </c>
      <c r="D11" s="71">
        <f t="shared" si="0"/>
        <v>38931</v>
      </c>
      <c r="E11" s="71">
        <f t="shared" si="0"/>
        <v>21195</v>
      </c>
      <c r="F11" s="71">
        <f t="shared" si="0"/>
        <v>57496</v>
      </c>
      <c r="G11" s="71">
        <f t="shared" si="0"/>
        <v>35667</v>
      </c>
      <c r="H11" s="71">
        <f t="shared" si="0"/>
        <v>15051</v>
      </c>
      <c r="I11" s="71">
        <f t="shared" si="0"/>
        <v>41674</v>
      </c>
      <c r="J11" s="71">
        <f t="shared" si="0"/>
        <v>26632</v>
      </c>
      <c r="K11" s="125"/>
    </row>
    <row r="12" spans="1:11" ht="15" x14ac:dyDescent="0.2">
      <c r="A12" s="65"/>
      <c r="B12" s="64" t="s">
        <v>129</v>
      </c>
      <c r="C12" s="66"/>
      <c r="D12" s="66"/>
      <c r="E12" s="66"/>
      <c r="F12" s="66"/>
      <c r="G12" s="66"/>
      <c r="H12" s="67"/>
      <c r="I12" s="67"/>
      <c r="J12" s="67"/>
    </row>
    <row r="13" spans="1:11" ht="15.75" customHeight="1" x14ac:dyDescent="0.2">
      <c r="A13" s="65"/>
      <c r="B13" s="144" t="s">
        <v>181</v>
      </c>
      <c r="C13" s="66"/>
      <c r="D13" s="66"/>
      <c r="E13" s="66"/>
      <c r="F13" s="66"/>
      <c r="G13" s="66"/>
      <c r="H13" s="67"/>
      <c r="I13" s="67"/>
      <c r="J13" s="67"/>
    </row>
    <row r="14" spans="1:11" ht="15.75" customHeight="1" x14ac:dyDescent="0.2">
      <c r="A14" s="65"/>
      <c r="B14" s="144"/>
      <c r="C14" s="144"/>
      <c r="D14" s="144"/>
      <c r="E14" s="144"/>
      <c r="F14" s="144"/>
      <c r="G14" s="144"/>
      <c r="H14" s="144"/>
      <c r="I14" s="144"/>
      <c r="J14" s="144"/>
    </row>
    <row r="15" spans="1:11" ht="19" x14ac:dyDescent="0.25">
      <c r="A15" s="68" t="s">
        <v>200</v>
      </c>
      <c r="B15" s="62"/>
      <c r="C15" s="62"/>
      <c r="D15" s="62"/>
      <c r="E15" s="62"/>
      <c r="F15" s="62"/>
      <c r="G15" s="62"/>
      <c r="H15" s="62"/>
      <c r="I15" s="62"/>
      <c r="J15" s="62"/>
    </row>
    <row r="16" spans="1:11" ht="16" x14ac:dyDescent="0.2">
      <c r="A16" s="41"/>
      <c r="B16" s="202" t="s">
        <v>99</v>
      </c>
      <c r="C16" s="201"/>
      <c r="D16" s="203"/>
      <c r="E16" s="202" t="s">
        <v>100</v>
      </c>
      <c r="F16" s="201"/>
      <c r="G16" s="203"/>
      <c r="H16" s="202" t="s">
        <v>127</v>
      </c>
      <c r="I16" s="201"/>
      <c r="J16" s="201"/>
    </row>
    <row r="17" spans="1:11" ht="15" x14ac:dyDescent="0.2">
      <c r="A17" s="57" t="s">
        <v>117</v>
      </c>
      <c r="B17" s="57" t="s">
        <v>74</v>
      </c>
      <c r="C17" s="57" t="s">
        <v>73</v>
      </c>
      <c r="D17" s="57" t="s">
        <v>72</v>
      </c>
      <c r="E17" s="57" t="s">
        <v>74</v>
      </c>
      <c r="F17" s="57" t="s">
        <v>73</v>
      </c>
      <c r="G17" s="57" t="s">
        <v>72</v>
      </c>
      <c r="H17" s="57" t="s">
        <v>74</v>
      </c>
      <c r="I17" s="57" t="s">
        <v>73</v>
      </c>
      <c r="J17" s="57" t="s">
        <v>72</v>
      </c>
    </row>
    <row r="18" spans="1:11" ht="15" customHeight="1" x14ac:dyDescent="0.2">
      <c r="A18" s="69" t="s">
        <v>112</v>
      </c>
      <c r="B18" s="72">
        <f t="shared" ref="B18:J18" si="1">B5/B11</f>
        <v>0.19832143001250857</v>
      </c>
      <c r="C18" s="72">
        <f t="shared" si="1"/>
        <v>0.13924089425537459</v>
      </c>
      <c r="D18" s="72">
        <f t="shared" si="1"/>
        <v>6.018340140248131E-2</v>
      </c>
      <c r="E18" s="72">
        <f t="shared" si="1"/>
        <v>0.11238499646142958</v>
      </c>
      <c r="F18" s="72">
        <f t="shared" si="1"/>
        <v>7.5100876582718801E-2</v>
      </c>
      <c r="G18" s="72">
        <f t="shared" si="1"/>
        <v>2.5289483275857234E-2</v>
      </c>
      <c r="H18" s="72">
        <f t="shared" si="1"/>
        <v>9.9993355923194471E-2</v>
      </c>
      <c r="I18" s="72">
        <f t="shared" si="1"/>
        <v>6.43806690022556E-2</v>
      </c>
      <c r="J18" s="72">
        <f t="shared" si="1"/>
        <v>2.0651847401622108E-2</v>
      </c>
      <c r="K18" s="42"/>
    </row>
    <row r="19" spans="1:11" ht="14" x14ac:dyDescent="0.2">
      <c r="A19" s="69" t="s">
        <v>97</v>
      </c>
      <c r="B19" s="73">
        <f t="shared" ref="B19:J19" si="2">B6/B11</f>
        <v>0.13456805067990155</v>
      </c>
      <c r="C19" s="73">
        <f t="shared" si="2"/>
        <v>0.11553607820903755</v>
      </c>
      <c r="D19" s="73">
        <f t="shared" si="2"/>
        <v>6.7170121497007532E-2</v>
      </c>
      <c r="E19" s="73">
        <f t="shared" si="2"/>
        <v>0.12668082094833688</v>
      </c>
      <c r="F19" s="73">
        <f t="shared" si="2"/>
        <v>0.10245930151662724</v>
      </c>
      <c r="G19" s="73">
        <f t="shared" si="2"/>
        <v>5.2177082457173299E-2</v>
      </c>
      <c r="H19" s="73">
        <f t="shared" si="2"/>
        <v>0.11952694173144641</v>
      </c>
      <c r="I19" s="73">
        <f t="shared" si="2"/>
        <v>9.617507318711907E-2</v>
      </c>
      <c r="J19" s="73">
        <f t="shared" si="2"/>
        <v>4.6222589366176028E-2</v>
      </c>
      <c r="K19" s="42"/>
    </row>
    <row r="20" spans="1:11" ht="14" x14ac:dyDescent="0.2">
      <c r="A20" s="69" t="s">
        <v>96</v>
      </c>
      <c r="B20" s="73">
        <f t="shared" ref="B20:G20" si="3">B7/B11</f>
        <v>0.18855667191219788</v>
      </c>
      <c r="C20" s="73">
        <f t="shared" si="3"/>
        <v>0.17250731677418366</v>
      </c>
      <c r="D20" s="73">
        <f t="shared" si="3"/>
        <v>0.11993013279905473</v>
      </c>
      <c r="E20" s="73">
        <f t="shared" si="3"/>
        <v>0.20717150271290399</v>
      </c>
      <c r="F20" s="73">
        <f t="shared" si="3"/>
        <v>0.18025601780993461</v>
      </c>
      <c r="G20" s="73">
        <f t="shared" si="3"/>
        <v>0.11293352398575714</v>
      </c>
      <c r="H20" s="73">
        <f>H7/H11</f>
        <v>0.2101521493588466</v>
      </c>
      <c r="I20" s="73">
        <f>I7/I11</f>
        <v>0.17936843115611653</v>
      </c>
      <c r="J20" s="73">
        <f>J7/J11</f>
        <v>0.10705166716731751</v>
      </c>
      <c r="K20" s="42"/>
    </row>
    <row r="21" spans="1:11" ht="14" x14ac:dyDescent="0.2">
      <c r="A21" s="69" t="s">
        <v>95</v>
      </c>
      <c r="B21" s="73">
        <f t="shared" ref="B21:G21" si="4">B8/B11</f>
        <v>0.18286728806036395</v>
      </c>
      <c r="C21" s="73">
        <f t="shared" si="4"/>
        <v>0.1881062196411333</v>
      </c>
      <c r="D21" s="73">
        <f t="shared" si="4"/>
        <v>0.16837481698389459</v>
      </c>
      <c r="E21" s="73">
        <f t="shared" si="4"/>
        <v>0.21047416843595187</v>
      </c>
      <c r="F21" s="73">
        <f t="shared" si="4"/>
        <v>0.20846667594267426</v>
      </c>
      <c r="G21" s="73">
        <f t="shared" si="4"/>
        <v>0.17677404884066503</v>
      </c>
      <c r="H21" s="73">
        <f>H8/H11</f>
        <v>0.20849113015746462</v>
      </c>
      <c r="I21" s="73">
        <f>I8/I11</f>
        <v>0.20571579402025245</v>
      </c>
      <c r="J21" s="73">
        <f>J8/J11</f>
        <v>0.17178582156803845</v>
      </c>
      <c r="K21" s="42"/>
    </row>
    <row r="22" spans="1:11" ht="14" x14ac:dyDescent="0.2">
      <c r="A22" s="69" t="s">
        <v>94</v>
      </c>
      <c r="B22" s="73">
        <f t="shared" ref="B22:G22" si="5">B9/B11</f>
        <v>0.17092361699552111</v>
      </c>
      <c r="C22" s="73">
        <f t="shared" si="5"/>
        <v>0.20557453915814958</v>
      </c>
      <c r="D22" s="73">
        <f t="shared" si="5"/>
        <v>0.2400914438365313</v>
      </c>
      <c r="E22" s="73">
        <f t="shared" si="5"/>
        <v>0.19882047652748289</v>
      </c>
      <c r="F22" s="73">
        <f t="shared" si="5"/>
        <v>0.2318422151106164</v>
      </c>
      <c r="G22" s="73">
        <f t="shared" si="5"/>
        <v>0.25920318501696243</v>
      </c>
      <c r="H22" s="73">
        <f>H9/H11</f>
        <v>0.20623214404358514</v>
      </c>
      <c r="I22" s="73">
        <f>I9/I11</f>
        <v>0.23734222776791286</v>
      </c>
      <c r="J22" s="73">
        <f>J9/J11</f>
        <v>0.26558275758486033</v>
      </c>
      <c r="K22" s="42"/>
    </row>
    <row r="23" spans="1:11" ht="14" x14ac:dyDescent="0.2">
      <c r="A23" s="69" t="s">
        <v>93</v>
      </c>
      <c r="B23" s="73">
        <f t="shared" ref="B23:G23" si="6">B10/B11</f>
        <v>0.12476294233950692</v>
      </c>
      <c r="C23" s="73">
        <f t="shared" si="6"/>
        <v>0.17903495196212132</v>
      </c>
      <c r="D23" s="73">
        <f t="shared" si="6"/>
        <v>0.34425008348103053</v>
      </c>
      <c r="E23" s="73">
        <f t="shared" si="6"/>
        <v>0.14446803491389479</v>
      </c>
      <c r="F23" s="73">
        <f t="shared" si="6"/>
        <v>0.20187491303742869</v>
      </c>
      <c r="G23" s="73">
        <f t="shared" si="6"/>
        <v>0.37362267642358482</v>
      </c>
      <c r="H23" s="73">
        <f>H10/H11</f>
        <v>0.15560427878546276</v>
      </c>
      <c r="I23" s="73">
        <f>I10/I11</f>
        <v>0.21701780486634353</v>
      </c>
      <c r="J23" s="73">
        <f>J10/J11</f>
        <v>0.38870531691198557</v>
      </c>
      <c r="K23" s="42"/>
    </row>
    <row r="24" spans="1:11" ht="14" x14ac:dyDescent="0.2">
      <c r="A24" s="63" t="s">
        <v>98</v>
      </c>
      <c r="B24" s="74">
        <f t="shared" ref="B24:G24" si="7">SUM(B18:B23)</f>
        <v>0.99999999999999978</v>
      </c>
      <c r="C24" s="74">
        <f t="shared" si="7"/>
        <v>1</v>
      </c>
      <c r="D24" s="74">
        <f t="shared" si="7"/>
        <v>1</v>
      </c>
      <c r="E24" s="74">
        <f t="shared" si="7"/>
        <v>1</v>
      </c>
      <c r="F24" s="74">
        <f t="shared" si="7"/>
        <v>1</v>
      </c>
      <c r="G24" s="74">
        <f t="shared" si="7"/>
        <v>1</v>
      </c>
      <c r="H24" s="74">
        <f>SUM(H18:H23)</f>
        <v>1</v>
      </c>
      <c r="I24" s="74">
        <f>SUM(I18:I23)</f>
        <v>1</v>
      </c>
      <c r="J24" s="74">
        <f>SUM(J18:J23)</f>
        <v>1</v>
      </c>
      <c r="K24" s="42"/>
    </row>
    <row r="25" spans="1:11" ht="12.75" customHeight="1" x14ac:dyDescent="0.15">
      <c r="A25" s="62"/>
      <c r="B25" s="64" t="s">
        <v>129</v>
      </c>
      <c r="C25" s="62"/>
      <c r="D25" s="62"/>
      <c r="E25" s="62"/>
      <c r="F25" s="62"/>
      <c r="G25" s="62"/>
      <c r="H25" s="62"/>
      <c r="I25" s="62"/>
      <c r="J25" s="62"/>
      <c r="K25" s="42"/>
    </row>
    <row r="26" spans="1:11" x14ac:dyDescent="0.15">
      <c r="A26" s="42"/>
      <c r="B26" s="42"/>
      <c r="C26" s="42"/>
      <c r="D26" s="42"/>
      <c r="E26" s="42"/>
      <c r="F26" s="42"/>
      <c r="G26" s="42"/>
      <c r="H26" s="42"/>
      <c r="I26" s="42"/>
      <c r="J26" s="42"/>
      <c r="K26" s="42"/>
    </row>
    <row r="27" spans="1:11" x14ac:dyDescent="0.15">
      <c r="A27" s="145"/>
      <c r="B27" s="146"/>
      <c r="C27" s="5"/>
      <c r="D27" s="5"/>
      <c r="E27" s="5"/>
    </row>
  </sheetData>
  <mergeCells count="6">
    <mergeCell ref="H16:J16"/>
    <mergeCell ref="E16:G16"/>
    <mergeCell ref="B16:D16"/>
    <mergeCell ref="B3:D3"/>
    <mergeCell ref="E3:G3"/>
    <mergeCell ref="H3:J3"/>
  </mergeCells>
  <hyperlinks>
    <hyperlink ref="A1" location="Contents!A1" display="&lt;Back to contents&gt;"/>
  </hyperlinks>
  <pageMargins left="0.70866141732283472" right="0.70866141732283472" top="0.74803149606299213" bottom="0.74803149606299213" header="0.31496062992125984" footer="0.31496062992125984"/>
  <pageSetup paperSize="9" scale="74"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92D050"/>
    <pageSetUpPr fitToPage="1"/>
  </sheetPr>
  <dimension ref="A1:AC61"/>
  <sheetViews>
    <sheetView showGridLines="0" tabSelected="1" workbookViewId="0">
      <pane xSplit="1" ySplit="5" topLeftCell="B6" activePane="bottomRight" state="frozen"/>
      <selection pane="topRight" activeCell="B1" sqref="B1"/>
      <selection pane="bottomLeft" activeCell="A6" sqref="A6"/>
      <selection pane="bottomRight" activeCell="U59" sqref="U59"/>
    </sheetView>
  </sheetViews>
  <sheetFormatPr baseColWidth="10" defaultColWidth="8.83203125" defaultRowHeight="13" x14ac:dyDescent="0.15"/>
  <cols>
    <col min="1" max="1" width="46.33203125" style="2" customWidth="1"/>
    <col min="2" max="4" width="14.6640625" style="2" customWidth="1"/>
    <col min="5" max="5" width="12.1640625" style="4" customWidth="1"/>
    <col min="6" max="6" width="13.33203125" style="4" customWidth="1"/>
    <col min="7" max="7" width="13" style="4" customWidth="1"/>
    <col min="8" max="8" width="12.1640625" style="4" customWidth="1"/>
    <col min="9" max="9" width="13" style="4" customWidth="1"/>
    <col min="10" max="10" width="12.5" style="2" customWidth="1"/>
    <col min="11" max="11" width="13" style="2" customWidth="1"/>
    <col min="12" max="12" width="13.1640625" style="2" customWidth="1"/>
    <col min="13" max="13" width="12.6640625" style="2" customWidth="1"/>
    <col min="14" max="14" width="11.5" style="2" customWidth="1"/>
    <col min="15" max="15" width="12.83203125" style="2" customWidth="1"/>
    <col min="16" max="16" width="13.5" style="4" customWidth="1"/>
    <col min="17" max="17" width="11.33203125" style="4" customWidth="1"/>
    <col min="18" max="18" width="14.6640625" style="4" customWidth="1"/>
    <col min="19" max="22" width="14.6640625" style="2" customWidth="1"/>
    <col min="23" max="23" width="13.83203125" style="2" customWidth="1"/>
    <col min="24" max="24" width="13.1640625" style="2" customWidth="1"/>
    <col min="25" max="25" width="13.33203125" style="2" customWidth="1"/>
    <col min="26" max="27" width="9.1640625" style="2" customWidth="1"/>
  </cols>
  <sheetData>
    <row r="1" spans="1:28" s="82" customFormat="1" ht="14" x14ac:dyDescent="0.2">
      <c r="A1" s="99" t="s">
        <v>56</v>
      </c>
      <c r="B1" s="99"/>
      <c r="C1" s="78"/>
      <c r="D1" s="78"/>
      <c r="E1" s="81"/>
      <c r="F1" s="81"/>
      <c r="G1" s="81"/>
      <c r="H1" s="81"/>
      <c r="I1" s="81"/>
      <c r="J1" s="78"/>
      <c r="K1" s="78"/>
      <c r="L1" s="78"/>
      <c r="M1" s="78"/>
      <c r="N1" s="78"/>
      <c r="O1" s="78"/>
      <c r="P1" s="81"/>
      <c r="Q1" s="81"/>
      <c r="R1" s="81"/>
      <c r="S1" s="78"/>
      <c r="T1" s="78"/>
      <c r="U1" s="78"/>
      <c r="V1" s="78"/>
      <c r="W1" s="96"/>
      <c r="X1" s="96"/>
      <c r="Y1" s="96"/>
      <c r="Z1" s="96"/>
      <c r="AA1" s="96"/>
      <c r="AB1" s="101"/>
    </row>
    <row r="2" spans="1:28" s="5" customFormat="1" ht="19" x14ac:dyDescent="0.25">
      <c r="A2" s="14" t="s">
        <v>208</v>
      </c>
      <c r="B2" s="14"/>
      <c r="C2" s="7"/>
      <c r="D2" s="7"/>
      <c r="E2" s="7"/>
      <c r="F2" s="7"/>
      <c r="G2" s="7"/>
      <c r="H2" s="7"/>
      <c r="I2" s="7"/>
      <c r="J2" s="7"/>
      <c r="K2" s="7"/>
      <c r="L2" s="7"/>
      <c r="M2" s="7"/>
      <c r="N2" s="7"/>
      <c r="O2" s="7"/>
      <c r="P2" s="7"/>
      <c r="Q2" s="7"/>
      <c r="R2" s="7"/>
      <c r="S2" s="7"/>
      <c r="T2" s="7"/>
      <c r="U2" s="7"/>
      <c r="V2" s="7"/>
      <c r="W2" s="44"/>
      <c r="X2" s="44"/>
      <c r="Y2" s="44"/>
      <c r="Z2" s="44"/>
      <c r="AA2" s="44"/>
      <c r="AB2" s="45"/>
    </row>
    <row r="3" spans="1:28" s="5" customFormat="1" ht="15.75" customHeight="1" x14ac:dyDescent="0.15">
      <c r="A3" s="224" t="s">
        <v>187</v>
      </c>
      <c r="B3" s="225"/>
      <c r="C3" s="225"/>
      <c r="D3" s="225"/>
      <c r="E3" s="225"/>
      <c r="F3" s="225"/>
      <c r="G3" s="225"/>
      <c r="H3" s="225"/>
      <c r="I3" s="225"/>
      <c r="J3" s="225"/>
      <c r="K3" s="225"/>
      <c r="L3" s="225"/>
      <c r="M3" s="225"/>
      <c r="N3" s="225"/>
      <c r="O3" s="225"/>
      <c r="P3" s="225"/>
      <c r="Q3" s="225"/>
      <c r="R3" s="225"/>
      <c r="S3" s="225"/>
      <c r="T3" s="225"/>
      <c r="U3" s="225"/>
      <c r="V3" s="225"/>
      <c r="W3" s="225"/>
      <c r="X3" s="225"/>
      <c r="Y3" s="225"/>
      <c r="Z3" s="45"/>
      <c r="AA3" s="45"/>
      <c r="AB3" s="45"/>
    </row>
    <row r="4" spans="1:28" s="5" customFormat="1" ht="15" x14ac:dyDescent="0.2">
      <c r="A4" s="16"/>
      <c r="B4" s="221" t="s">
        <v>99</v>
      </c>
      <c r="C4" s="222"/>
      <c r="D4" s="222"/>
      <c r="E4" s="222"/>
      <c r="F4" s="222"/>
      <c r="G4" s="222"/>
      <c r="H4" s="222"/>
      <c r="I4" s="223"/>
      <c r="J4" s="221" t="s">
        <v>100</v>
      </c>
      <c r="K4" s="222"/>
      <c r="L4" s="222"/>
      <c r="M4" s="222"/>
      <c r="N4" s="222"/>
      <c r="O4" s="222"/>
      <c r="P4" s="222"/>
      <c r="Q4" s="223"/>
      <c r="R4" s="221" t="s">
        <v>101</v>
      </c>
      <c r="S4" s="222"/>
      <c r="T4" s="222"/>
      <c r="U4" s="222"/>
      <c r="V4" s="222"/>
      <c r="W4" s="222"/>
      <c r="X4" s="222"/>
      <c r="Y4" s="223"/>
    </row>
    <row r="5" spans="1:28" s="5" customFormat="1" ht="15" x14ac:dyDescent="0.2">
      <c r="A5" s="16"/>
      <c r="B5" s="32">
        <v>2010</v>
      </c>
      <c r="C5" s="32">
        <v>2011</v>
      </c>
      <c r="D5" s="32">
        <v>2012</v>
      </c>
      <c r="E5" s="32">
        <v>2013</v>
      </c>
      <c r="F5" s="32">
        <v>2014</v>
      </c>
      <c r="G5" s="32">
        <v>2015</v>
      </c>
      <c r="H5" s="32">
        <v>2016</v>
      </c>
      <c r="I5" s="32">
        <v>2017</v>
      </c>
      <c r="J5" s="32">
        <v>2010</v>
      </c>
      <c r="K5" s="32">
        <v>2011</v>
      </c>
      <c r="L5" s="32">
        <v>2012</v>
      </c>
      <c r="M5" s="32">
        <v>2013</v>
      </c>
      <c r="N5" s="32">
        <v>2014</v>
      </c>
      <c r="O5" s="32">
        <v>2015</v>
      </c>
      <c r="P5" s="32">
        <v>2016</v>
      </c>
      <c r="Q5" s="32">
        <v>2017</v>
      </c>
      <c r="R5" s="32">
        <v>2010</v>
      </c>
      <c r="S5" s="32">
        <v>2011</v>
      </c>
      <c r="T5" s="32">
        <v>2012</v>
      </c>
      <c r="U5" s="32">
        <v>2013</v>
      </c>
      <c r="V5" s="32">
        <v>2014</v>
      </c>
      <c r="W5" s="32">
        <v>2015</v>
      </c>
      <c r="X5" s="178">
        <v>2016</v>
      </c>
      <c r="Y5" s="178">
        <v>2017</v>
      </c>
      <c r="Z5" s="179"/>
    </row>
    <row r="6" spans="1:28" s="5" customFormat="1" ht="15" x14ac:dyDescent="0.2">
      <c r="A6" s="29" t="s">
        <v>10</v>
      </c>
      <c r="B6" s="29"/>
      <c r="C6" s="27"/>
      <c r="D6" s="27"/>
      <c r="E6" s="27"/>
      <c r="F6" s="27"/>
      <c r="G6" s="27"/>
      <c r="H6" s="27"/>
      <c r="I6" s="27"/>
      <c r="J6" s="27"/>
      <c r="K6" s="27"/>
      <c r="L6" s="27"/>
      <c r="M6" s="27"/>
      <c r="N6" s="27"/>
      <c r="O6" s="27"/>
      <c r="P6" s="27"/>
      <c r="Q6" s="27"/>
      <c r="R6" s="27"/>
      <c r="S6" s="27"/>
      <c r="T6" s="27"/>
      <c r="U6" s="27"/>
      <c r="V6" s="27"/>
      <c r="W6" s="27"/>
      <c r="X6" s="27"/>
      <c r="Y6" s="27"/>
    </row>
    <row r="7" spans="1:28" s="5" customFormat="1" ht="14" x14ac:dyDescent="0.2">
      <c r="A7" s="25" t="s">
        <v>11</v>
      </c>
      <c r="B7" s="131">
        <v>9263</v>
      </c>
      <c r="C7" s="131">
        <v>8847</v>
      </c>
      <c r="D7" s="131">
        <v>9340</v>
      </c>
      <c r="E7" s="131">
        <v>9151</v>
      </c>
      <c r="F7" s="131">
        <v>9835</v>
      </c>
      <c r="G7" s="131">
        <v>10264</v>
      </c>
      <c r="H7" s="180">
        <v>10497</v>
      </c>
      <c r="I7" s="180">
        <v>9469</v>
      </c>
      <c r="J7" s="26">
        <v>8590</v>
      </c>
      <c r="K7" s="26">
        <v>8394</v>
      </c>
      <c r="L7" s="26">
        <v>8509</v>
      </c>
      <c r="M7" s="26">
        <v>7796</v>
      </c>
      <c r="N7" s="26">
        <v>8917</v>
      </c>
      <c r="O7" s="26">
        <v>8460</v>
      </c>
      <c r="P7" s="26">
        <v>9174</v>
      </c>
      <c r="Q7" s="26">
        <v>8549</v>
      </c>
      <c r="R7" s="31">
        <f t="shared" ref="R7:Y7" si="0">J7/B7</f>
        <v>0.92734535247759908</v>
      </c>
      <c r="S7" s="31">
        <f t="shared" si="0"/>
        <v>0.94879620210240756</v>
      </c>
      <c r="T7" s="31">
        <f t="shared" si="0"/>
        <v>0.91102783725910064</v>
      </c>
      <c r="U7" s="31">
        <f t="shared" si="0"/>
        <v>0.8519287509561797</v>
      </c>
      <c r="V7" s="31">
        <f t="shared" si="0"/>
        <v>0.90665988815455012</v>
      </c>
      <c r="W7" s="31">
        <f t="shared" si="0"/>
        <v>0.82424006235385816</v>
      </c>
      <c r="X7" s="31">
        <f t="shared" si="0"/>
        <v>0.87396398971134615</v>
      </c>
      <c r="Y7" s="31">
        <f t="shared" si="0"/>
        <v>0.90284084908649276</v>
      </c>
    </row>
    <row r="8" spans="1:28" s="5" customFormat="1" ht="14" x14ac:dyDescent="0.2">
      <c r="A8" s="25" t="s">
        <v>12</v>
      </c>
      <c r="B8" s="131">
        <v>7870</v>
      </c>
      <c r="C8" s="131">
        <v>8586</v>
      </c>
      <c r="D8" s="131">
        <v>8757</v>
      </c>
      <c r="E8" s="131">
        <v>8980</v>
      </c>
      <c r="F8" s="131">
        <v>8573</v>
      </c>
      <c r="G8" s="131">
        <v>8513</v>
      </c>
      <c r="H8" s="180">
        <v>9183</v>
      </c>
      <c r="I8" s="180">
        <v>8861</v>
      </c>
      <c r="J8" s="26">
        <v>6509</v>
      </c>
      <c r="K8" s="26">
        <v>6883</v>
      </c>
      <c r="L8" s="26">
        <v>7556</v>
      </c>
      <c r="M8" s="26">
        <v>7697</v>
      </c>
      <c r="N8" s="26">
        <v>7658</v>
      </c>
      <c r="O8" s="26">
        <v>8614</v>
      </c>
      <c r="P8" s="26">
        <v>8911</v>
      </c>
      <c r="Q8" s="26">
        <v>8700</v>
      </c>
      <c r="R8" s="31">
        <f t="shared" ref="R8:R16" si="1">J8/B8</f>
        <v>0.82706480304955532</v>
      </c>
      <c r="S8" s="31">
        <f t="shared" ref="S8:S16" si="2">K8/C8</f>
        <v>0.8016538551129746</v>
      </c>
      <c r="T8" s="31">
        <f t="shared" ref="T8:T16" si="3">L8/D8</f>
        <v>0.8628525750827909</v>
      </c>
      <c r="U8" s="31">
        <f t="shared" ref="U8:U16" si="4">M8/E8</f>
        <v>0.85712694877505569</v>
      </c>
      <c r="V8" s="31">
        <f t="shared" ref="V8:V16" si="5">N8/F8</f>
        <v>0.89326956724600493</v>
      </c>
      <c r="W8" s="31">
        <f t="shared" ref="W8:W16" si="6">O8/G8</f>
        <v>1.0118642076823681</v>
      </c>
      <c r="X8" s="31">
        <f t="shared" ref="X8:X53" si="7">P8/H8</f>
        <v>0.97038005009256234</v>
      </c>
      <c r="Y8" s="31">
        <f t="shared" ref="Y8:Y16" si="8">Q8/I8</f>
        <v>0.98183049317232818</v>
      </c>
    </row>
    <row r="9" spans="1:28" s="5" customFormat="1" ht="14" x14ac:dyDescent="0.2">
      <c r="A9" s="25" t="s">
        <v>13</v>
      </c>
      <c r="B9" s="131">
        <v>4942</v>
      </c>
      <c r="C9" s="131">
        <v>4841</v>
      </c>
      <c r="D9" s="131">
        <v>5155</v>
      </c>
      <c r="E9" s="131">
        <v>5786</v>
      </c>
      <c r="F9" s="131">
        <v>5677</v>
      </c>
      <c r="G9" s="131">
        <v>5513</v>
      </c>
      <c r="H9" s="180">
        <v>5336</v>
      </c>
      <c r="I9" s="180">
        <v>5190</v>
      </c>
      <c r="J9" s="26">
        <v>4529</v>
      </c>
      <c r="K9" s="26">
        <v>4634</v>
      </c>
      <c r="L9" s="26">
        <v>4967</v>
      </c>
      <c r="M9" s="26">
        <v>5389</v>
      </c>
      <c r="N9" s="26">
        <v>4991</v>
      </c>
      <c r="O9" s="26">
        <v>5378</v>
      </c>
      <c r="P9" s="26">
        <v>5161</v>
      </c>
      <c r="Q9" s="26">
        <v>5144</v>
      </c>
      <c r="R9" s="31">
        <f t="shared" si="1"/>
        <v>0.91643059490084988</v>
      </c>
      <c r="S9" s="31">
        <f t="shared" si="2"/>
        <v>0.95724023961991322</v>
      </c>
      <c r="T9" s="31">
        <f t="shared" si="3"/>
        <v>0.96353055286129974</v>
      </c>
      <c r="U9" s="31">
        <f t="shared" si="4"/>
        <v>0.93138610438990665</v>
      </c>
      <c r="V9" s="31">
        <f t="shared" si="5"/>
        <v>0.87916152897657218</v>
      </c>
      <c r="W9" s="31">
        <f t="shared" si="6"/>
        <v>0.97551242517685466</v>
      </c>
      <c r="X9" s="31">
        <f t="shared" si="7"/>
        <v>0.96720389805097451</v>
      </c>
      <c r="Y9" s="31">
        <f t="shared" si="8"/>
        <v>0.9911368015414258</v>
      </c>
    </row>
    <row r="10" spans="1:28" s="5" customFormat="1" ht="14" x14ac:dyDescent="0.2">
      <c r="A10" s="25" t="s">
        <v>14</v>
      </c>
      <c r="B10" s="131">
        <v>4733</v>
      </c>
      <c r="C10" s="131">
        <v>4739</v>
      </c>
      <c r="D10" s="131">
        <v>5009</v>
      </c>
      <c r="E10" s="131">
        <v>5036</v>
      </c>
      <c r="F10" s="131">
        <v>5888</v>
      </c>
      <c r="G10" s="131">
        <v>5471</v>
      </c>
      <c r="H10" s="180">
        <v>5240</v>
      </c>
      <c r="I10" s="180">
        <v>5599</v>
      </c>
      <c r="J10" s="26">
        <v>4539</v>
      </c>
      <c r="K10" s="26">
        <v>4389</v>
      </c>
      <c r="L10" s="26">
        <v>4856</v>
      </c>
      <c r="M10" s="26">
        <v>4646</v>
      </c>
      <c r="N10" s="26">
        <v>5038</v>
      </c>
      <c r="O10" s="26">
        <v>4843</v>
      </c>
      <c r="P10" s="26">
        <v>4632</v>
      </c>
      <c r="Q10" s="26">
        <v>5354</v>
      </c>
      <c r="R10" s="31">
        <f t="shared" si="1"/>
        <v>0.9590111979716881</v>
      </c>
      <c r="S10" s="31">
        <f t="shared" si="2"/>
        <v>0.92614475627769577</v>
      </c>
      <c r="T10" s="31">
        <f t="shared" si="3"/>
        <v>0.96945498103413852</v>
      </c>
      <c r="U10" s="31">
        <f t="shared" si="4"/>
        <v>0.92255758538522636</v>
      </c>
      <c r="V10" s="31">
        <f t="shared" si="5"/>
        <v>0.85563858695652173</v>
      </c>
      <c r="W10" s="31">
        <f t="shared" si="6"/>
        <v>0.88521294096143299</v>
      </c>
      <c r="X10" s="31">
        <f t="shared" si="7"/>
        <v>0.88396946564885492</v>
      </c>
      <c r="Y10" s="31">
        <f t="shared" si="8"/>
        <v>0.9562421861046615</v>
      </c>
    </row>
    <row r="11" spans="1:28" s="5" customFormat="1" ht="14" x14ac:dyDescent="0.2">
      <c r="A11" s="25" t="s">
        <v>15</v>
      </c>
      <c r="B11" s="131">
        <v>10181</v>
      </c>
      <c r="C11" s="131">
        <v>10871</v>
      </c>
      <c r="D11" s="131">
        <v>10791</v>
      </c>
      <c r="E11" s="131">
        <v>11576</v>
      </c>
      <c r="F11" s="131">
        <v>10783</v>
      </c>
      <c r="G11" s="131">
        <v>10317</v>
      </c>
      <c r="H11" s="180">
        <v>10352</v>
      </c>
      <c r="I11" s="180">
        <v>9937</v>
      </c>
      <c r="J11" s="26">
        <v>7801</v>
      </c>
      <c r="K11" s="26">
        <v>8014</v>
      </c>
      <c r="L11" s="26">
        <v>8443</v>
      </c>
      <c r="M11" s="26">
        <v>8843</v>
      </c>
      <c r="N11" s="26">
        <v>8275</v>
      </c>
      <c r="O11" s="26">
        <v>8034</v>
      </c>
      <c r="P11" s="26">
        <v>8124</v>
      </c>
      <c r="Q11" s="26">
        <v>7886</v>
      </c>
      <c r="R11" s="31">
        <f t="shared" si="1"/>
        <v>0.7662312150083489</v>
      </c>
      <c r="S11" s="31">
        <f t="shared" si="2"/>
        <v>0.73719069082881061</v>
      </c>
      <c r="T11" s="31">
        <f t="shared" si="3"/>
        <v>0.78241126864980071</v>
      </c>
      <c r="U11" s="31">
        <f t="shared" si="4"/>
        <v>0.76390808569454038</v>
      </c>
      <c r="V11" s="31">
        <f t="shared" si="5"/>
        <v>0.76741166651210235</v>
      </c>
      <c r="W11" s="31">
        <f t="shared" si="6"/>
        <v>0.77871474265774931</v>
      </c>
      <c r="X11" s="31">
        <f t="shared" si="7"/>
        <v>0.78477588871715609</v>
      </c>
      <c r="Y11" s="31">
        <f t="shared" si="8"/>
        <v>0.79359967797121866</v>
      </c>
    </row>
    <row r="12" spans="1:28" s="5" customFormat="1" ht="14" x14ac:dyDescent="0.2">
      <c r="A12" s="25" t="s">
        <v>16</v>
      </c>
      <c r="B12" s="131">
        <v>11823</v>
      </c>
      <c r="C12" s="131">
        <v>10985</v>
      </c>
      <c r="D12" s="131">
        <v>11356</v>
      </c>
      <c r="E12" s="131">
        <v>11772</v>
      </c>
      <c r="F12" s="131">
        <v>12022</v>
      </c>
      <c r="G12" s="131">
        <v>10982</v>
      </c>
      <c r="H12" s="180">
        <v>10594</v>
      </c>
      <c r="I12" s="180">
        <v>10613</v>
      </c>
      <c r="J12" s="26">
        <v>10362</v>
      </c>
      <c r="K12" s="26">
        <v>9506</v>
      </c>
      <c r="L12" s="26">
        <v>9652</v>
      </c>
      <c r="M12" s="26">
        <v>10233</v>
      </c>
      <c r="N12" s="26">
        <v>10271</v>
      </c>
      <c r="O12" s="26">
        <v>9130</v>
      </c>
      <c r="P12" s="26">
        <v>9006</v>
      </c>
      <c r="Q12" s="26">
        <v>9217</v>
      </c>
      <c r="R12" s="31">
        <f t="shared" si="1"/>
        <v>0.87642730271504699</v>
      </c>
      <c r="S12" s="31">
        <f t="shared" si="2"/>
        <v>0.86536185707783342</v>
      </c>
      <c r="T12" s="31">
        <f t="shared" si="3"/>
        <v>0.84994716449454033</v>
      </c>
      <c r="U12" s="31">
        <f t="shared" si="4"/>
        <v>0.86926605504587151</v>
      </c>
      <c r="V12" s="31">
        <f t="shared" si="5"/>
        <v>0.85435035767759104</v>
      </c>
      <c r="W12" s="31">
        <f t="shared" si="6"/>
        <v>0.83136040794026589</v>
      </c>
      <c r="X12" s="31">
        <f t="shared" si="7"/>
        <v>0.8501038323579384</v>
      </c>
      <c r="Y12" s="31">
        <f t="shared" si="8"/>
        <v>0.86846320550268541</v>
      </c>
    </row>
    <row r="13" spans="1:28" s="5" customFormat="1" ht="14" x14ac:dyDescent="0.2">
      <c r="A13" s="25" t="s">
        <v>17</v>
      </c>
      <c r="B13" s="131">
        <v>14371</v>
      </c>
      <c r="C13" s="131">
        <v>14363</v>
      </c>
      <c r="D13" s="131">
        <v>15838</v>
      </c>
      <c r="E13" s="131">
        <v>16487</v>
      </c>
      <c r="F13" s="131">
        <v>14187</v>
      </c>
      <c r="G13" s="131">
        <v>13502</v>
      </c>
      <c r="H13" s="180">
        <v>13161</v>
      </c>
      <c r="I13" s="180">
        <v>12809</v>
      </c>
      <c r="J13" s="26">
        <v>9968</v>
      </c>
      <c r="K13" s="26">
        <v>9529</v>
      </c>
      <c r="L13" s="26">
        <v>11023</v>
      </c>
      <c r="M13" s="26">
        <v>11728</v>
      </c>
      <c r="N13" s="26">
        <v>10349</v>
      </c>
      <c r="O13" s="26">
        <v>10169</v>
      </c>
      <c r="P13" s="26">
        <v>9368</v>
      </c>
      <c r="Q13" s="26">
        <v>9077</v>
      </c>
      <c r="R13" s="31">
        <f t="shared" si="1"/>
        <v>0.69361909400876764</v>
      </c>
      <c r="S13" s="31">
        <f t="shared" si="2"/>
        <v>0.66344078535124973</v>
      </c>
      <c r="T13" s="31">
        <f t="shared" si="3"/>
        <v>0.69598434145725474</v>
      </c>
      <c r="U13" s="31">
        <f t="shared" si="4"/>
        <v>0.71134833505185902</v>
      </c>
      <c r="V13" s="31">
        <f t="shared" si="5"/>
        <v>0.72947064213716784</v>
      </c>
      <c r="W13" s="31">
        <f t="shared" si="6"/>
        <v>0.75314768182491487</v>
      </c>
      <c r="X13" s="31">
        <f t="shared" si="7"/>
        <v>0.71180001519641367</v>
      </c>
      <c r="Y13" s="31">
        <f t="shared" si="8"/>
        <v>0.7086423608400344</v>
      </c>
    </row>
    <row r="14" spans="1:28" s="5" customFormat="1" ht="14" x14ac:dyDescent="0.2">
      <c r="A14" s="25" t="s">
        <v>18</v>
      </c>
      <c r="B14" s="131">
        <v>10020</v>
      </c>
      <c r="C14" s="131">
        <v>10491</v>
      </c>
      <c r="D14" s="131">
        <v>11156</v>
      </c>
      <c r="E14" s="131">
        <v>10009</v>
      </c>
      <c r="F14" s="131">
        <v>10326</v>
      </c>
      <c r="G14" s="131">
        <v>10751</v>
      </c>
      <c r="H14" s="180">
        <v>12545</v>
      </c>
      <c r="I14" s="180">
        <v>12123</v>
      </c>
      <c r="J14" s="26">
        <v>6025</v>
      </c>
      <c r="K14" s="26">
        <v>7394</v>
      </c>
      <c r="L14" s="26">
        <v>7192</v>
      </c>
      <c r="M14" s="26">
        <v>7748</v>
      </c>
      <c r="N14" s="26">
        <v>8065</v>
      </c>
      <c r="O14" s="26">
        <v>8124</v>
      </c>
      <c r="P14" s="26">
        <v>9490</v>
      </c>
      <c r="Q14" s="26">
        <v>8533</v>
      </c>
      <c r="R14" s="31">
        <f t="shared" si="1"/>
        <v>0.60129740518962072</v>
      </c>
      <c r="S14" s="31">
        <f t="shared" si="2"/>
        <v>0.70479458583547805</v>
      </c>
      <c r="T14" s="31">
        <f t="shared" si="3"/>
        <v>0.64467551093581932</v>
      </c>
      <c r="U14" s="31">
        <f t="shared" si="4"/>
        <v>0.77410330702367869</v>
      </c>
      <c r="V14" s="31">
        <f t="shared" si="5"/>
        <v>0.78103815611078831</v>
      </c>
      <c r="W14" s="31">
        <f t="shared" si="6"/>
        <v>0.75565063715003256</v>
      </c>
      <c r="X14" s="31">
        <f t="shared" si="7"/>
        <v>0.75647668393782386</v>
      </c>
      <c r="Y14" s="31">
        <f t="shared" si="8"/>
        <v>0.70386867936979292</v>
      </c>
    </row>
    <row r="15" spans="1:28" ht="14" x14ac:dyDescent="0.2">
      <c r="A15" s="25" t="s">
        <v>19</v>
      </c>
      <c r="B15" s="131">
        <v>12549</v>
      </c>
      <c r="C15" s="131">
        <v>12942</v>
      </c>
      <c r="D15" s="131">
        <v>13441</v>
      </c>
      <c r="E15" s="131">
        <v>14575</v>
      </c>
      <c r="F15" s="131">
        <v>14849</v>
      </c>
      <c r="G15" s="131">
        <v>15893</v>
      </c>
      <c r="H15" s="180">
        <v>14733</v>
      </c>
      <c r="I15" s="180">
        <v>15784</v>
      </c>
      <c r="J15" s="26">
        <v>12857</v>
      </c>
      <c r="K15" s="26">
        <v>13349</v>
      </c>
      <c r="L15" s="26">
        <v>13561</v>
      </c>
      <c r="M15" s="26">
        <v>14303</v>
      </c>
      <c r="N15" s="26">
        <v>13895</v>
      </c>
      <c r="O15" s="26">
        <v>15047</v>
      </c>
      <c r="P15" s="26">
        <v>15489</v>
      </c>
      <c r="Q15" s="26">
        <v>14827</v>
      </c>
      <c r="R15" s="31">
        <f t="shared" si="1"/>
        <v>1.0245437883496693</v>
      </c>
      <c r="S15" s="31">
        <f t="shared" si="2"/>
        <v>1.0314479987637151</v>
      </c>
      <c r="T15" s="31">
        <f t="shared" si="3"/>
        <v>1.0089279071497657</v>
      </c>
      <c r="U15" s="31">
        <f t="shared" si="4"/>
        <v>0.98133790737564319</v>
      </c>
      <c r="V15" s="31">
        <f t="shared" si="5"/>
        <v>0.93575324937706239</v>
      </c>
      <c r="W15" s="31">
        <f t="shared" si="6"/>
        <v>0.94676901780658151</v>
      </c>
      <c r="X15" s="31">
        <f t="shared" si="7"/>
        <v>1.0513133781307269</v>
      </c>
      <c r="Y15" s="31">
        <f t="shared" si="8"/>
        <v>0.93936898124683221</v>
      </c>
      <c r="Z15"/>
      <c r="AA15"/>
    </row>
    <row r="16" spans="1:28" ht="14" x14ac:dyDescent="0.2">
      <c r="A16" s="25" t="s">
        <v>20</v>
      </c>
      <c r="B16" s="131">
        <v>6692</v>
      </c>
      <c r="C16" s="131">
        <v>6528</v>
      </c>
      <c r="D16" s="131">
        <v>6472</v>
      </c>
      <c r="E16" s="131">
        <v>6667</v>
      </c>
      <c r="F16" s="131">
        <v>7341</v>
      </c>
      <c r="G16" s="131">
        <v>7641</v>
      </c>
      <c r="H16" s="180">
        <v>7891</v>
      </c>
      <c r="I16" s="180">
        <v>7885</v>
      </c>
      <c r="J16" s="26">
        <v>5344</v>
      </c>
      <c r="K16" s="26">
        <v>5170</v>
      </c>
      <c r="L16" s="26">
        <v>5020</v>
      </c>
      <c r="M16" s="26">
        <v>5597</v>
      </c>
      <c r="N16" s="26">
        <v>5547</v>
      </c>
      <c r="O16" s="26">
        <v>6611</v>
      </c>
      <c r="P16" s="26">
        <v>6655</v>
      </c>
      <c r="Q16" s="26">
        <v>6679</v>
      </c>
      <c r="R16" s="31">
        <f t="shared" si="1"/>
        <v>0.79856545128511658</v>
      </c>
      <c r="S16" s="31">
        <f t="shared" si="2"/>
        <v>0.79197303921568629</v>
      </c>
      <c r="T16" s="31">
        <f t="shared" si="3"/>
        <v>0.77564894932014838</v>
      </c>
      <c r="U16" s="31">
        <f t="shared" si="4"/>
        <v>0.83950802459877005</v>
      </c>
      <c r="V16" s="31">
        <f t="shared" si="5"/>
        <v>0.75561912545974663</v>
      </c>
      <c r="W16" s="31">
        <f t="shared" si="6"/>
        <v>0.8652008899358723</v>
      </c>
      <c r="X16" s="31">
        <f t="shared" si="7"/>
        <v>0.84336585984032442</v>
      </c>
      <c r="Y16" s="31">
        <f t="shared" si="8"/>
        <v>0.84705136334812936</v>
      </c>
      <c r="Z16"/>
      <c r="AA16"/>
    </row>
    <row r="17" spans="1:27" ht="15" x14ac:dyDescent="0.2">
      <c r="A17" s="51" t="s">
        <v>21</v>
      </c>
      <c r="B17" s="25"/>
      <c r="C17" s="25"/>
      <c r="D17" s="25"/>
      <c r="E17" s="25"/>
      <c r="F17" s="25"/>
      <c r="G17" s="25"/>
      <c r="H17" s="95"/>
      <c r="I17" s="95"/>
      <c r="J17" s="26"/>
      <c r="K17" s="26"/>
      <c r="L17" s="26"/>
      <c r="M17" s="26"/>
      <c r="N17" s="26"/>
      <c r="O17" s="26"/>
      <c r="P17" s="26"/>
      <c r="Q17" s="26"/>
      <c r="R17" s="31"/>
      <c r="S17" s="31"/>
      <c r="T17" s="31"/>
      <c r="U17" s="31"/>
      <c r="V17" s="31"/>
      <c r="W17" s="31"/>
      <c r="X17" s="31"/>
      <c r="Y17" s="31"/>
      <c r="Z17"/>
      <c r="AA17"/>
    </row>
    <row r="18" spans="1:27" ht="14" x14ac:dyDescent="0.2">
      <c r="A18" s="25" t="s">
        <v>58</v>
      </c>
      <c r="B18" s="131">
        <v>12946</v>
      </c>
      <c r="C18" s="131">
        <v>13049</v>
      </c>
      <c r="D18" s="131">
        <v>12779</v>
      </c>
      <c r="E18" s="131">
        <v>12853</v>
      </c>
      <c r="F18" s="131">
        <v>13798</v>
      </c>
      <c r="G18" s="131">
        <v>14169</v>
      </c>
      <c r="H18" s="180">
        <v>12293</v>
      </c>
      <c r="I18" s="180">
        <v>14429</v>
      </c>
      <c r="J18" s="26">
        <v>8154</v>
      </c>
      <c r="K18" s="26">
        <v>9665</v>
      </c>
      <c r="L18" s="26">
        <v>10934</v>
      </c>
      <c r="M18" s="26">
        <v>11422</v>
      </c>
      <c r="N18" s="26">
        <v>12013</v>
      </c>
      <c r="O18" s="26">
        <v>11486</v>
      </c>
      <c r="P18" s="26">
        <v>9814</v>
      </c>
      <c r="Q18" s="26">
        <v>11210</v>
      </c>
      <c r="R18" s="31">
        <f t="shared" ref="R18:W25" si="9">J18/B18</f>
        <v>0.62984705700602506</v>
      </c>
      <c r="S18" s="31">
        <f t="shared" si="9"/>
        <v>0.74066978312514364</v>
      </c>
      <c r="T18" s="31">
        <f t="shared" si="9"/>
        <v>0.85562250567337039</v>
      </c>
      <c r="U18" s="31">
        <f t="shared" si="9"/>
        <v>0.8886641251069789</v>
      </c>
      <c r="V18" s="31">
        <f t="shared" si="9"/>
        <v>0.87063342513407738</v>
      </c>
      <c r="W18" s="31">
        <f t="shared" si="9"/>
        <v>0.81064295292540056</v>
      </c>
      <c r="X18" s="31">
        <f t="shared" si="7"/>
        <v>0.79834051899454972</v>
      </c>
      <c r="Y18" s="31">
        <f t="shared" ref="Y18:Y25" si="10">Q18/I18</f>
        <v>0.77690761660544738</v>
      </c>
      <c r="Z18"/>
      <c r="AA18"/>
    </row>
    <row r="19" spans="1:27" ht="14" x14ac:dyDescent="0.2">
      <c r="A19" s="25" t="s">
        <v>22</v>
      </c>
      <c r="B19" s="131">
        <v>9736</v>
      </c>
      <c r="C19" s="131">
        <v>10687</v>
      </c>
      <c r="D19" s="131">
        <v>11039</v>
      </c>
      <c r="E19" s="131">
        <v>11183</v>
      </c>
      <c r="F19" s="131">
        <v>12331</v>
      </c>
      <c r="G19" s="131">
        <v>12241</v>
      </c>
      <c r="H19" s="180">
        <v>15457</v>
      </c>
      <c r="I19" s="180">
        <v>12438</v>
      </c>
      <c r="J19" s="26">
        <v>8861</v>
      </c>
      <c r="K19" s="26">
        <v>9653</v>
      </c>
      <c r="L19" s="26">
        <v>10245</v>
      </c>
      <c r="M19" s="26">
        <v>9628</v>
      </c>
      <c r="N19" s="26">
        <v>10736</v>
      </c>
      <c r="O19" s="26">
        <v>10168</v>
      </c>
      <c r="P19" s="26">
        <v>11555</v>
      </c>
      <c r="Q19" s="26">
        <v>10674</v>
      </c>
      <c r="R19" s="31">
        <f t="shared" si="9"/>
        <v>0.91012736236647496</v>
      </c>
      <c r="S19" s="31">
        <f t="shared" si="9"/>
        <v>0.90324693552914759</v>
      </c>
      <c r="T19" s="31">
        <f t="shared" si="9"/>
        <v>0.92807319503578223</v>
      </c>
      <c r="U19" s="31">
        <f t="shared" si="9"/>
        <v>0.86094965572744342</v>
      </c>
      <c r="V19" s="31">
        <f t="shared" si="9"/>
        <v>0.87065120428189113</v>
      </c>
      <c r="W19" s="31">
        <f t="shared" si="9"/>
        <v>0.83065109059717346</v>
      </c>
      <c r="X19" s="31">
        <f t="shared" si="7"/>
        <v>0.74755774082939763</v>
      </c>
      <c r="Y19" s="31">
        <f t="shared" si="10"/>
        <v>0.8581765557163531</v>
      </c>
      <c r="Z19"/>
      <c r="AA19"/>
    </row>
    <row r="20" spans="1:27" ht="14" x14ac:dyDescent="0.2">
      <c r="A20" s="25" t="s">
        <v>23</v>
      </c>
      <c r="B20" s="131">
        <v>14860</v>
      </c>
      <c r="C20" s="131">
        <v>15326</v>
      </c>
      <c r="D20" s="131">
        <v>14046</v>
      </c>
      <c r="E20" s="131">
        <v>14540</v>
      </c>
      <c r="F20" s="131">
        <v>14133</v>
      </c>
      <c r="G20" s="131">
        <v>14678</v>
      </c>
      <c r="H20" s="180">
        <v>13486</v>
      </c>
      <c r="I20" s="180">
        <v>14136</v>
      </c>
      <c r="J20" s="26">
        <v>9795</v>
      </c>
      <c r="K20" s="26">
        <v>9640</v>
      </c>
      <c r="L20" s="26">
        <v>10202</v>
      </c>
      <c r="M20" s="26">
        <v>10111</v>
      </c>
      <c r="N20" s="26">
        <v>10574</v>
      </c>
      <c r="O20" s="26">
        <v>10208</v>
      </c>
      <c r="P20" s="26">
        <v>9833</v>
      </c>
      <c r="Q20" s="26">
        <v>10264</v>
      </c>
      <c r="R20" s="31">
        <f t="shared" si="9"/>
        <v>0.65915208613728127</v>
      </c>
      <c r="S20" s="31">
        <f t="shared" si="9"/>
        <v>0.62899647657575364</v>
      </c>
      <c r="T20" s="31">
        <f t="shared" si="9"/>
        <v>0.72632778015093269</v>
      </c>
      <c r="U20" s="31">
        <f t="shared" si="9"/>
        <v>0.69539202200825312</v>
      </c>
      <c r="V20" s="31">
        <f t="shared" si="9"/>
        <v>0.74817802306658177</v>
      </c>
      <c r="W20" s="31">
        <f t="shared" si="9"/>
        <v>0.69546259708407143</v>
      </c>
      <c r="X20" s="31">
        <f t="shared" si="7"/>
        <v>0.7291265015571704</v>
      </c>
      <c r="Y20" s="31">
        <f t="shared" si="10"/>
        <v>0.72608941709111485</v>
      </c>
      <c r="Z20"/>
      <c r="AA20"/>
    </row>
    <row r="21" spans="1:27" ht="14" x14ac:dyDescent="0.2">
      <c r="A21" s="25" t="s">
        <v>24</v>
      </c>
      <c r="B21" s="131">
        <v>12917</v>
      </c>
      <c r="C21" s="131">
        <v>14039</v>
      </c>
      <c r="D21" s="131">
        <v>13261</v>
      </c>
      <c r="E21" s="131">
        <v>13616</v>
      </c>
      <c r="F21" s="131">
        <v>13393</v>
      </c>
      <c r="G21" s="131">
        <v>13264</v>
      </c>
      <c r="H21" s="180">
        <v>12768</v>
      </c>
      <c r="I21" s="180">
        <v>16873</v>
      </c>
      <c r="J21" s="26">
        <v>7076</v>
      </c>
      <c r="K21" s="26">
        <v>7822</v>
      </c>
      <c r="L21" s="26">
        <v>9063</v>
      </c>
      <c r="M21" s="26">
        <v>9705</v>
      </c>
      <c r="N21" s="26">
        <v>9749</v>
      </c>
      <c r="O21" s="26">
        <v>9727</v>
      </c>
      <c r="P21" s="26">
        <v>10019</v>
      </c>
      <c r="Q21" s="26">
        <v>11387</v>
      </c>
      <c r="R21" s="31">
        <f t="shared" si="9"/>
        <v>0.54780521792985992</v>
      </c>
      <c r="S21" s="31">
        <f t="shared" si="9"/>
        <v>0.5571621910392478</v>
      </c>
      <c r="T21" s="31">
        <f t="shared" si="9"/>
        <v>0.68343262197421006</v>
      </c>
      <c r="U21" s="31">
        <f t="shared" si="9"/>
        <v>0.71276439482961218</v>
      </c>
      <c r="V21" s="31">
        <f t="shared" si="9"/>
        <v>0.72791756887926529</v>
      </c>
      <c r="W21" s="31">
        <f t="shared" si="9"/>
        <v>0.73333835946924009</v>
      </c>
      <c r="X21" s="31">
        <f t="shared" si="7"/>
        <v>0.78469611528822059</v>
      </c>
      <c r="Y21" s="31">
        <f t="shared" si="10"/>
        <v>0.67486516920523909</v>
      </c>
      <c r="Z21"/>
      <c r="AA21"/>
    </row>
    <row r="22" spans="1:27" ht="14" x14ac:dyDescent="0.2">
      <c r="A22" s="25" t="s">
        <v>25</v>
      </c>
      <c r="B22" s="131">
        <v>3804</v>
      </c>
      <c r="C22" s="131">
        <v>4286</v>
      </c>
      <c r="D22" s="131">
        <v>4514</v>
      </c>
      <c r="E22" s="131">
        <v>4274</v>
      </c>
      <c r="F22" s="131">
        <v>4835</v>
      </c>
      <c r="G22" s="131">
        <v>8284</v>
      </c>
      <c r="H22" s="180">
        <v>9679</v>
      </c>
      <c r="I22" s="180">
        <v>10916</v>
      </c>
      <c r="J22" s="26">
        <v>3653</v>
      </c>
      <c r="K22" s="26">
        <v>4002</v>
      </c>
      <c r="L22" s="26">
        <v>4051</v>
      </c>
      <c r="M22" s="26">
        <v>4571</v>
      </c>
      <c r="N22" s="26">
        <v>4322</v>
      </c>
      <c r="O22" s="26">
        <v>8274</v>
      </c>
      <c r="P22" s="26">
        <v>8690</v>
      </c>
      <c r="Q22" s="26">
        <v>9144</v>
      </c>
      <c r="R22" s="31">
        <f t="shared" si="9"/>
        <v>0.96030494216614093</v>
      </c>
      <c r="S22" s="31">
        <f t="shared" si="9"/>
        <v>0.93373775081661226</v>
      </c>
      <c r="T22" s="31">
        <f t="shared" si="9"/>
        <v>0.89743021710234827</v>
      </c>
      <c r="U22" s="31">
        <f t="shared" si="9"/>
        <v>1.0694899391670567</v>
      </c>
      <c r="V22" s="31">
        <f t="shared" si="9"/>
        <v>0.89389865563598758</v>
      </c>
      <c r="W22" s="31">
        <f t="shared" si="9"/>
        <v>0.99879285369386772</v>
      </c>
      <c r="X22" s="31">
        <f t="shared" si="7"/>
        <v>0.8978200227296208</v>
      </c>
      <c r="Y22" s="31">
        <f t="shared" si="10"/>
        <v>0.83766947599853425</v>
      </c>
      <c r="Z22"/>
      <c r="AA22"/>
    </row>
    <row r="23" spans="1:27" ht="14" x14ac:dyDescent="0.2">
      <c r="A23" s="25" t="s">
        <v>26</v>
      </c>
      <c r="B23" s="131">
        <v>7597</v>
      </c>
      <c r="C23" s="131">
        <v>10007</v>
      </c>
      <c r="D23" s="131">
        <v>10738</v>
      </c>
      <c r="E23" s="131">
        <v>10368</v>
      </c>
      <c r="F23" s="131">
        <v>10720</v>
      </c>
      <c r="G23" s="131">
        <v>10537</v>
      </c>
      <c r="H23" s="180">
        <v>10470</v>
      </c>
      <c r="I23" s="180">
        <v>10443</v>
      </c>
      <c r="J23" s="26">
        <v>4846</v>
      </c>
      <c r="K23" s="26">
        <v>6097</v>
      </c>
      <c r="L23" s="26">
        <v>6268</v>
      </c>
      <c r="M23" s="26">
        <v>6090</v>
      </c>
      <c r="N23" s="26">
        <v>6289</v>
      </c>
      <c r="O23" s="26">
        <v>6935</v>
      </c>
      <c r="P23" s="26">
        <v>6829</v>
      </c>
      <c r="Q23" s="26">
        <v>6738</v>
      </c>
      <c r="R23" s="31">
        <f t="shared" si="9"/>
        <v>0.63788337501645387</v>
      </c>
      <c r="S23" s="31">
        <f t="shared" si="9"/>
        <v>0.60927350854401918</v>
      </c>
      <c r="T23" s="31">
        <f t="shared" si="9"/>
        <v>0.58372136338238034</v>
      </c>
      <c r="U23" s="31">
        <f t="shared" si="9"/>
        <v>0.5873842592592593</v>
      </c>
      <c r="V23" s="31">
        <f t="shared" si="9"/>
        <v>0.58666044776119408</v>
      </c>
      <c r="W23" s="31">
        <f t="shared" si="9"/>
        <v>0.65815697067476508</v>
      </c>
      <c r="X23" s="31">
        <f t="shared" si="7"/>
        <v>0.6522445081184336</v>
      </c>
      <c r="Y23" s="31">
        <f t="shared" si="10"/>
        <v>0.64521689169778795</v>
      </c>
      <c r="Z23"/>
      <c r="AA23"/>
    </row>
    <row r="24" spans="1:27" ht="14" x14ac:dyDescent="0.2">
      <c r="A24" s="25" t="s">
        <v>160</v>
      </c>
      <c r="B24" s="131">
        <v>2062</v>
      </c>
      <c r="C24" s="131">
        <v>2385</v>
      </c>
      <c r="D24" s="131">
        <v>2204</v>
      </c>
      <c r="E24" s="131">
        <v>2014</v>
      </c>
      <c r="F24" s="131">
        <v>2796</v>
      </c>
      <c r="G24" s="131">
        <v>2890</v>
      </c>
      <c r="H24" s="180">
        <v>4239</v>
      </c>
      <c r="I24" s="180">
        <v>3721</v>
      </c>
      <c r="J24" s="112">
        <v>2143</v>
      </c>
      <c r="K24" s="112">
        <v>2242</v>
      </c>
      <c r="L24" s="112">
        <v>2335</v>
      </c>
      <c r="M24" s="112">
        <v>2186</v>
      </c>
      <c r="N24" s="112">
        <v>3366</v>
      </c>
      <c r="O24" s="112">
        <v>3732</v>
      </c>
      <c r="P24" s="112">
        <v>4122</v>
      </c>
      <c r="Q24" s="112">
        <v>3675</v>
      </c>
      <c r="R24" s="31">
        <f t="shared" si="9"/>
        <v>1.039282250242483</v>
      </c>
      <c r="S24" s="31">
        <f t="shared" si="9"/>
        <v>0.94004192872117398</v>
      </c>
      <c r="T24" s="31">
        <f t="shared" si="9"/>
        <v>1.059437386569873</v>
      </c>
      <c r="U24" s="31">
        <f t="shared" si="9"/>
        <v>1.0854021847070507</v>
      </c>
      <c r="V24" s="31">
        <f t="shared" si="9"/>
        <v>1.203862660944206</v>
      </c>
      <c r="W24" s="31">
        <f t="shared" si="9"/>
        <v>1.2913494809688582</v>
      </c>
      <c r="X24" s="31">
        <f t="shared" si="7"/>
        <v>0.97239915074309979</v>
      </c>
      <c r="Y24" s="31">
        <f t="shared" si="10"/>
        <v>0.98763773179252889</v>
      </c>
      <c r="Z24"/>
      <c r="AA24"/>
    </row>
    <row r="25" spans="1:27" ht="14" x14ac:dyDescent="0.2">
      <c r="A25" s="25" t="s">
        <v>27</v>
      </c>
      <c r="B25" s="131">
        <v>7114</v>
      </c>
      <c r="C25" s="131">
        <v>6768</v>
      </c>
      <c r="D25" s="131">
        <v>6694</v>
      </c>
      <c r="E25" s="131">
        <v>6943</v>
      </c>
      <c r="F25" s="131">
        <v>7287</v>
      </c>
      <c r="G25" s="131">
        <v>8337</v>
      </c>
      <c r="H25" s="180">
        <v>8013</v>
      </c>
      <c r="I25" s="180">
        <v>7345</v>
      </c>
      <c r="J25" s="112">
        <v>7448</v>
      </c>
      <c r="K25" s="112">
        <v>7605</v>
      </c>
      <c r="L25" s="112">
        <v>8629</v>
      </c>
      <c r="M25" s="112">
        <v>10182</v>
      </c>
      <c r="N25" s="112">
        <v>8727</v>
      </c>
      <c r="O25" s="112">
        <v>8715</v>
      </c>
      <c r="P25" s="112">
        <v>8468</v>
      </c>
      <c r="Q25" s="112">
        <v>7711</v>
      </c>
      <c r="R25" s="31">
        <f t="shared" si="9"/>
        <v>1.0469496766938431</v>
      </c>
      <c r="S25" s="31">
        <f t="shared" si="9"/>
        <v>1.1236702127659575</v>
      </c>
      <c r="T25" s="31">
        <f t="shared" si="9"/>
        <v>1.2890648341798625</v>
      </c>
      <c r="U25" s="31">
        <f t="shared" si="9"/>
        <v>1.4665130347112199</v>
      </c>
      <c r="V25" s="31">
        <f t="shared" si="9"/>
        <v>1.1976121860848086</v>
      </c>
      <c r="W25" s="31">
        <f t="shared" si="9"/>
        <v>1.0453400503778338</v>
      </c>
      <c r="X25" s="31">
        <f t="shared" si="7"/>
        <v>1.0567827280668913</v>
      </c>
      <c r="Y25" s="31">
        <f t="shared" si="10"/>
        <v>1.0498298162014976</v>
      </c>
      <c r="Z25"/>
      <c r="AA25"/>
    </row>
    <row r="26" spans="1:27" ht="15" x14ac:dyDescent="0.2">
      <c r="A26" s="51" t="s">
        <v>28</v>
      </c>
      <c r="B26" s="25"/>
      <c r="C26" s="25"/>
      <c r="D26" s="25"/>
      <c r="E26" s="25"/>
      <c r="F26" s="25"/>
      <c r="G26" s="25"/>
      <c r="H26" s="95"/>
      <c r="I26" s="95"/>
      <c r="J26" s="112"/>
      <c r="K26" s="112"/>
      <c r="L26" s="112"/>
      <c r="M26" s="112"/>
      <c r="N26" s="112"/>
      <c r="O26" s="112"/>
      <c r="P26" s="112"/>
      <c r="Q26" s="112"/>
      <c r="R26" s="113"/>
      <c r="S26" s="113"/>
      <c r="T26" s="113"/>
      <c r="U26" s="113"/>
      <c r="V26" s="113"/>
      <c r="W26" s="31"/>
      <c r="X26" s="31"/>
      <c r="Y26" s="31"/>
      <c r="Z26"/>
      <c r="AA26"/>
    </row>
    <row r="27" spans="1:27" ht="14" x14ac:dyDescent="0.2">
      <c r="A27" s="25" t="s">
        <v>29</v>
      </c>
      <c r="B27" s="131">
        <v>4039</v>
      </c>
      <c r="C27" s="131">
        <v>3691</v>
      </c>
      <c r="D27" s="131">
        <v>4378</v>
      </c>
      <c r="E27" s="131">
        <v>4572</v>
      </c>
      <c r="F27" s="131">
        <v>4340</v>
      </c>
      <c r="G27" s="131">
        <v>6469</v>
      </c>
      <c r="H27" s="180">
        <v>5096</v>
      </c>
      <c r="I27" s="180">
        <v>5320</v>
      </c>
      <c r="J27" s="112">
        <v>3537</v>
      </c>
      <c r="K27" s="112">
        <v>3488</v>
      </c>
      <c r="L27" s="112">
        <v>4023</v>
      </c>
      <c r="M27" s="112">
        <v>4176</v>
      </c>
      <c r="N27" s="112">
        <v>4148</v>
      </c>
      <c r="O27" s="112">
        <v>5357</v>
      </c>
      <c r="P27" s="112">
        <v>4758</v>
      </c>
      <c r="Q27" s="112">
        <v>4762</v>
      </c>
      <c r="R27" s="113">
        <f t="shared" ref="R27:W33" si="11">J27/B27</f>
        <v>0.87571180985392427</v>
      </c>
      <c r="S27" s="113">
        <f t="shared" si="11"/>
        <v>0.94500135464643731</v>
      </c>
      <c r="T27" s="113">
        <f t="shared" si="11"/>
        <v>0.9189127455459114</v>
      </c>
      <c r="U27" s="113">
        <f t="shared" si="11"/>
        <v>0.91338582677165359</v>
      </c>
      <c r="V27" s="113">
        <f t="shared" si="11"/>
        <v>0.95576036866359448</v>
      </c>
      <c r="W27" s="31">
        <f t="shared" si="11"/>
        <v>0.8281032617096924</v>
      </c>
      <c r="X27" s="31">
        <f t="shared" si="7"/>
        <v>0.93367346938775508</v>
      </c>
      <c r="Y27" s="31">
        <f t="shared" ref="Y27:Y33" si="12">Q27/I27</f>
        <v>0.89511278195488719</v>
      </c>
      <c r="Z27"/>
      <c r="AA27"/>
    </row>
    <row r="28" spans="1:27" ht="14" x14ac:dyDescent="0.2">
      <c r="A28" s="25" t="s">
        <v>30</v>
      </c>
      <c r="B28" s="131">
        <v>12508</v>
      </c>
      <c r="C28" s="131">
        <v>12864</v>
      </c>
      <c r="D28" s="131">
        <v>12837</v>
      </c>
      <c r="E28" s="131">
        <v>13440</v>
      </c>
      <c r="F28" s="131">
        <v>13008</v>
      </c>
      <c r="G28" s="131">
        <v>13453</v>
      </c>
      <c r="H28" s="180">
        <v>12823</v>
      </c>
      <c r="I28" s="180">
        <v>14547</v>
      </c>
      <c r="J28" s="112">
        <v>10731</v>
      </c>
      <c r="K28" s="112">
        <v>9924</v>
      </c>
      <c r="L28" s="112">
        <v>10890</v>
      </c>
      <c r="M28" s="112">
        <v>11829</v>
      </c>
      <c r="N28" s="112">
        <v>11418</v>
      </c>
      <c r="O28" s="112">
        <v>12329</v>
      </c>
      <c r="P28" s="112">
        <v>11686</v>
      </c>
      <c r="Q28" s="112">
        <v>12832</v>
      </c>
      <c r="R28" s="113">
        <f t="shared" si="11"/>
        <v>0.85793092420850658</v>
      </c>
      <c r="S28" s="113">
        <f t="shared" si="11"/>
        <v>0.77145522388059706</v>
      </c>
      <c r="T28" s="113">
        <f t="shared" si="11"/>
        <v>0.84832904884318761</v>
      </c>
      <c r="U28" s="113">
        <f t="shared" si="11"/>
        <v>0.88013392857142858</v>
      </c>
      <c r="V28" s="113">
        <f t="shared" si="11"/>
        <v>0.87776752767527677</v>
      </c>
      <c r="W28" s="31">
        <f t="shared" si="11"/>
        <v>0.91644986248420424</v>
      </c>
      <c r="X28" s="31">
        <f t="shared" si="7"/>
        <v>0.91133120174686111</v>
      </c>
      <c r="Y28" s="31">
        <f t="shared" si="12"/>
        <v>0.88210627620815285</v>
      </c>
      <c r="Z28"/>
      <c r="AA28"/>
    </row>
    <row r="29" spans="1:27" ht="14" x14ac:dyDescent="0.2">
      <c r="A29" s="25" t="s">
        <v>31</v>
      </c>
      <c r="B29" s="131">
        <v>5403</v>
      </c>
      <c r="C29" s="131">
        <v>4892</v>
      </c>
      <c r="D29" s="131">
        <v>5335</v>
      </c>
      <c r="E29" s="131">
        <v>5212</v>
      </c>
      <c r="F29" s="131">
        <v>5143</v>
      </c>
      <c r="G29" s="131">
        <v>5215</v>
      </c>
      <c r="H29" s="180">
        <v>5446</v>
      </c>
      <c r="I29" s="180">
        <v>5179</v>
      </c>
      <c r="J29" s="112">
        <v>4531</v>
      </c>
      <c r="K29" s="112">
        <v>4434</v>
      </c>
      <c r="L29" s="112">
        <v>4719</v>
      </c>
      <c r="M29" s="112">
        <v>4623</v>
      </c>
      <c r="N29" s="112">
        <v>4532</v>
      </c>
      <c r="O29" s="112">
        <v>4492</v>
      </c>
      <c r="P29" s="112">
        <v>4475</v>
      </c>
      <c r="Q29" s="112">
        <v>4183</v>
      </c>
      <c r="R29" s="113">
        <f t="shared" si="11"/>
        <v>0.838608180640385</v>
      </c>
      <c r="S29" s="113">
        <f t="shared" si="11"/>
        <v>0.90637775960752254</v>
      </c>
      <c r="T29" s="113">
        <f t="shared" si="11"/>
        <v>0.88453608247422677</v>
      </c>
      <c r="U29" s="113">
        <f t="shared" si="11"/>
        <v>0.88699155794320794</v>
      </c>
      <c r="V29" s="113">
        <f t="shared" si="11"/>
        <v>0.88119774450709698</v>
      </c>
      <c r="W29" s="31">
        <f t="shared" si="11"/>
        <v>0.86136145733461167</v>
      </c>
      <c r="X29" s="31">
        <f t="shared" si="7"/>
        <v>0.82170400293793611</v>
      </c>
      <c r="Y29" s="31">
        <f t="shared" si="12"/>
        <v>0.80768488125120674</v>
      </c>
      <c r="Z29"/>
      <c r="AA29"/>
    </row>
    <row r="30" spans="1:27" ht="14" x14ac:dyDescent="0.2">
      <c r="A30" s="25" t="s">
        <v>32</v>
      </c>
      <c r="B30" s="131">
        <v>13471</v>
      </c>
      <c r="C30" s="131">
        <v>15370</v>
      </c>
      <c r="D30" s="131">
        <v>13804</v>
      </c>
      <c r="E30" s="131">
        <v>14475</v>
      </c>
      <c r="F30" s="131">
        <v>14080</v>
      </c>
      <c r="G30" s="131">
        <v>13888</v>
      </c>
      <c r="H30" s="180">
        <v>14718</v>
      </c>
      <c r="I30" s="180">
        <v>14514</v>
      </c>
      <c r="J30" s="112">
        <v>9608</v>
      </c>
      <c r="K30" s="112">
        <v>11643</v>
      </c>
      <c r="L30" s="112">
        <v>11081</v>
      </c>
      <c r="M30" s="112">
        <v>10797</v>
      </c>
      <c r="N30" s="112">
        <v>11034</v>
      </c>
      <c r="O30" s="112">
        <v>11394</v>
      </c>
      <c r="P30" s="112">
        <v>11825</v>
      </c>
      <c r="Q30" s="112">
        <v>11920</v>
      </c>
      <c r="R30" s="113">
        <f t="shared" si="11"/>
        <v>0.71323583995249051</v>
      </c>
      <c r="S30" s="113">
        <f t="shared" si="11"/>
        <v>0.75751463890696158</v>
      </c>
      <c r="T30" s="113">
        <f t="shared" si="11"/>
        <v>0.80273833671399597</v>
      </c>
      <c r="U30" s="113">
        <f t="shared" si="11"/>
        <v>0.74590673575129529</v>
      </c>
      <c r="V30" s="113">
        <f t="shared" si="11"/>
        <v>0.78366477272727275</v>
      </c>
      <c r="W30" s="31">
        <f t="shared" si="11"/>
        <v>0.82042050691244239</v>
      </c>
      <c r="X30" s="31">
        <f t="shared" si="7"/>
        <v>0.80343796711509718</v>
      </c>
      <c r="Y30" s="31">
        <f t="shared" si="12"/>
        <v>0.82127600937026324</v>
      </c>
      <c r="Z30"/>
      <c r="AA30"/>
    </row>
    <row r="31" spans="1:27" ht="14" x14ac:dyDescent="0.2">
      <c r="A31" s="25" t="s">
        <v>33</v>
      </c>
      <c r="B31" s="131">
        <v>12998</v>
      </c>
      <c r="C31" s="131">
        <v>13001</v>
      </c>
      <c r="D31" s="131">
        <v>13000</v>
      </c>
      <c r="E31" s="131">
        <v>13393</v>
      </c>
      <c r="F31" s="131">
        <v>13343</v>
      </c>
      <c r="G31" s="131">
        <v>12144</v>
      </c>
      <c r="H31" s="180">
        <v>12174</v>
      </c>
      <c r="I31" s="180">
        <v>11613</v>
      </c>
      <c r="J31" s="112">
        <v>9069</v>
      </c>
      <c r="K31" s="112">
        <v>9540</v>
      </c>
      <c r="L31" s="112">
        <v>9501</v>
      </c>
      <c r="M31" s="112">
        <v>10529</v>
      </c>
      <c r="N31" s="112">
        <v>10470</v>
      </c>
      <c r="O31" s="112">
        <v>9094</v>
      </c>
      <c r="P31" s="112">
        <v>9110</v>
      </c>
      <c r="Q31" s="112">
        <v>9005</v>
      </c>
      <c r="R31" s="113">
        <f t="shared" si="11"/>
        <v>0.69772272657331902</v>
      </c>
      <c r="S31" s="113">
        <f t="shared" si="11"/>
        <v>0.73378970848396274</v>
      </c>
      <c r="T31" s="113">
        <f t="shared" si="11"/>
        <v>0.73084615384615381</v>
      </c>
      <c r="U31" s="113">
        <f t="shared" si="11"/>
        <v>0.78615694765922495</v>
      </c>
      <c r="V31" s="113">
        <f t="shared" si="11"/>
        <v>0.78468110619800646</v>
      </c>
      <c r="W31" s="31">
        <f t="shared" si="11"/>
        <v>0.74884716732542822</v>
      </c>
      <c r="X31" s="31">
        <f t="shared" si="7"/>
        <v>0.74831608345654677</v>
      </c>
      <c r="Y31" s="31">
        <f t="shared" si="12"/>
        <v>0.77542409368810816</v>
      </c>
      <c r="Z31"/>
      <c r="AA31"/>
    </row>
    <row r="32" spans="1:27" ht="14" x14ac:dyDescent="0.2">
      <c r="A32" s="25" t="s">
        <v>34</v>
      </c>
      <c r="B32" s="131">
        <v>4405</v>
      </c>
      <c r="C32" s="131">
        <v>5165</v>
      </c>
      <c r="D32" s="131">
        <v>4950</v>
      </c>
      <c r="E32" s="131">
        <v>4553</v>
      </c>
      <c r="F32" s="131">
        <v>5440</v>
      </c>
      <c r="G32" s="131">
        <v>5255</v>
      </c>
      <c r="H32" s="180">
        <v>5106</v>
      </c>
      <c r="I32" s="180">
        <v>5358</v>
      </c>
      <c r="J32" s="112">
        <v>3174</v>
      </c>
      <c r="K32" s="112">
        <v>4500</v>
      </c>
      <c r="L32" s="112">
        <v>4691</v>
      </c>
      <c r="M32" s="112">
        <v>4405</v>
      </c>
      <c r="N32" s="112">
        <v>5379</v>
      </c>
      <c r="O32" s="112">
        <v>5252</v>
      </c>
      <c r="P32" s="112">
        <v>4936</v>
      </c>
      <c r="Q32" s="112">
        <v>5240</v>
      </c>
      <c r="R32" s="113">
        <f t="shared" si="11"/>
        <v>0.72054483541430192</v>
      </c>
      <c r="S32" s="113">
        <f t="shared" si="11"/>
        <v>0.8712487899322362</v>
      </c>
      <c r="T32" s="113">
        <f t="shared" si="11"/>
        <v>0.94767676767676767</v>
      </c>
      <c r="U32" s="113">
        <f t="shared" si="11"/>
        <v>0.96749396002635624</v>
      </c>
      <c r="V32" s="113">
        <f t="shared" si="11"/>
        <v>0.98878676470588234</v>
      </c>
      <c r="W32" s="31">
        <f t="shared" si="11"/>
        <v>0.99942911512844912</v>
      </c>
      <c r="X32" s="31">
        <f t="shared" si="7"/>
        <v>0.96670583627105366</v>
      </c>
      <c r="Y32" s="31">
        <f t="shared" si="12"/>
        <v>0.97797685703620751</v>
      </c>
      <c r="Z32"/>
      <c r="AA32"/>
    </row>
    <row r="33" spans="1:29" ht="14" x14ac:dyDescent="0.2">
      <c r="A33" s="25" t="s">
        <v>35</v>
      </c>
      <c r="B33" s="131">
        <v>3220</v>
      </c>
      <c r="C33" s="131">
        <v>3083</v>
      </c>
      <c r="D33" s="131">
        <v>3226</v>
      </c>
      <c r="E33" s="131">
        <v>3390</v>
      </c>
      <c r="F33" s="131">
        <v>3558</v>
      </c>
      <c r="G33" s="131">
        <v>3826</v>
      </c>
      <c r="H33" s="180">
        <v>4566</v>
      </c>
      <c r="I33" s="180">
        <v>3925</v>
      </c>
      <c r="J33" s="112">
        <v>3031</v>
      </c>
      <c r="K33" s="112">
        <v>3011</v>
      </c>
      <c r="L33" s="112">
        <v>3118</v>
      </c>
      <c r="M33" s="112">
        <v>3457</v>
      </c>
      <c r="N33" s="112">
        <v>3643</v>
      </c>
      <c r="O33" s="112">
        <v>3926</v>
      </c>
      <c r="P33" s="112">
        <v>4504</v>
      </c>
      <c r="Q33" s="112">
        <v>3761</v>
      </c>
      <c r="R33" s="113">
        <f t="shared" si="11"/>
        <v>0.94130434782608696</v>
      </c>
      <c r="S33" s="113">
        <f t="shared" si="11"/>
        <v>0.97664612390528704</v>
      </c>
      <c r="T33" s="113">
        <f t="shared" si="11"/>
        <v>0.96652200867947924</v>
      </c>
      <c r="U33" s="113">
        <f t="shared" si="11"/>
        <v>1.01976401179941</v>
      </c>
      <c r="V33" s="113">
        <f t="shared" si="11"/>
        <v>1.0238898257448004</v>
      </c>
      <c r="W33" s="31">
        <f t="shared" si="11"/>
        <v>1.0261369576581285</v>
      </c>
      <c r="X33" s="31">
        <f t="shared" si="7"/>
        <v>0.98642137538326768</v>
      </c>
      <c r="Y33" s="31">
        <f t="shared" si="12"/>
        <v>0.95821656050955417</v>
      </c>
      <c r="Z33"/>
      <c r="AA33"/>
    </row>
    <row r="34" spans="1:29" ht="15" x14ac:dyDescent="0.2">
      <c r="A34" s="51" t="s">
        <v>36</v>
      </c>
      <c r="B34" s="25"/>
      <c r="C34" s="25"/>
      <c r="D34" s="25"/>
      <c r="E34" s="25"/>
      <c r="F34" s="25"/>
      <c r="G34" s="25"/>
      <c r="H34" s="95"/>
      <c r="I34" s="95"/>
      <c r="J34" s="112"/>
      <c r="K34" s="112"/>
      <c r="L34" s="112"/>
      <c r="M34" s="112"/>
      <c r="N34" s="112"/>
      <c r="O34" s="112"/>
      <c r="P34" s="112"/>
      <c r="Q34" s="112"/>
      <c r="R34" s="113"/>
      <c r="S34" s="113"/>
      <c r="T34" s="113"/>
      <c r="U34" s="113"/>
      <c r="V34" s="113"/>
      <c r="W34" s="31"/>
      <c r="X34" s="31"/>
      <c r="Y34" s="31"/>
      <c r="Z34"/>
      <c r="AA34"/>
    </row>
    <row r="35" spans="1:29" ht="14" x14ac:dyDescent="0.2">
      <c r="A35" s="25" t="s">
        <v>37</v>
      </c>
      <c r="B35" s="131">
        <v>8374</v>
      </c>
      <c r="C35" s="131">
        <v>9096</v>
      </c>
      <c r="D35" s="131">
        <v>10291</v>
      </c>
      <c r="E35" s="131">
        <v>10720</v>
      </c>
      <c r="F35" s="131">
        <v>10664</v>
      </c>
      <c r="G35" s="131">
        <v>10383</v>
      </c>
      <c r="H35" s="180">
        <v>10911</v>
      </c>
      <c r="I35" s="180">
        <v>11557</v>
      </c>
      <c r="J35" s="112">
        <v>7552</v>
      </c>
      <c r="K35" s="112">
        <v>7552</v>
      </c>
      <c r="L35" s="112">
        <v>9064</v>
      </c>
      <c r="M35" s="112">
        <v>9292</v>
      </c>
      <c r="N35" s="112">
        <v>9202</v>
      </c>
      <c r="O35" s="112">
        <v>9271</v>
      </c>
      <c r="P35" s="112">
        <v>9153</v>
      </c>
      <c r="Q35" s="112">
        <v>9493</v>
      </c>
      <c r="R35" s="113">
        <f t="shared" ref="R35:W39" si="13">J35/B35</f>
        <v>0.90183902555529016</v>
      </c>
      <c r="S35" s="113">
        <f t="shared" si="13"/>
        <v>0.83025505716798598</v>
      </c>
      <c r="T35" s="113">
        <f t="shared" si="13"/>
        <v>0.88076960450879405</v>
      </c>
      <c r="U35" s="113">
        <f t="shared" si="13"/>
        <v>0.86679104477611946</v>
      </c>
      <c r="V35" s="113">
        <f t="shared" si="13"/>
        <v>0.86290322580645162</v>
      </c>
      <c r="W35" s="31">
        <f t="shared" si="13"/>
        <v>0.89290185880766637</v>
      </c>
      <c r="X35" s="31">
        <f t="shared" si="7"/>
        <v>0.83887819631564475</v>
      </c>
      <c r="Y35" s="31">
        <f>Q35/I35</f>
        <v>0.82140693951717569</v>
      </c>
      <c r="Z35"/>
      <c r="AA35"/>
    </row>
    <row r="36" spans="1:29" ht="14" x14ac:dyDescent="0.2">
      <c r="A36" s="25" t="s">
        <v>38</v>
      </c>
      <c r="B36" s="131">
        <v>8276</v>
      </c>
      <c r="C36" s="131">
        <v>6812</v>
      </c>
      <c r="D36" s="131">
        <v>6915</v>
      </c>
      <c r="E36" s="131">
        <v>6762</v>
      </c>
      <c r="F36" s="131">
        <v>7226</v>
      </c>
      <c r="G36" s="131">
        <v>6462</v>
      </c>
      <c r="H36" s="180">
        <v>7200</v>
      </c>
      <c r="I36" s="180">
        <v>6949</v>
      </c>
      <c r="J36" s="112">
        <v>7013</v>
      </c>
      <c r="K36" s="112">
        <v>6244</v>
      </c>
      <c r="L36" s="112">
        <v>3089</v>
      </c>
      <c r="M36" s="112">
        <v>6171</v>
      </c>
      <c r="N36" s="112">
        <v>6338</v>
      </c>
      <c r="O36" s="112">
        <v>5605</v>
      </c>
      <c r="P36" s="112">
        <v>6358</v>
      </c>
      <c r="Q36" s="112">
        <v>5768</v>
      </c>
      <c r="R36" s="113">
        <f t="shared" si="13"/>
        <v>0.84739004349927505</v>
      </c>
      <c r="S36" s="113">
        <f t="shared" si="13"/>
        <v>0.91661773341162656</v>
      </c>
      <c r="T36" s="113">
        <f t="shared" si="13"/>
        <v>0.44671005061460595</v>
      </c>
      <c r="U36" s="113">
        <f t="shared" si="13"/>
        <v>0.91259982253771077</v>
      </c>
      <c r="V36" s="113">
        <f t="shared" si="13"/>
        <v>0.87711043454193194</v>
      </c>
      <c r="W36" s="31">
        <f t="shared" si="13"/>
        <v>0.86737852058186315</v>
      </c>
      <c r="X36" s="31">
        <f t="shared" si="7"/>
        <v>0.88305555555555559</v>
      </c>
      <c r="Y36" s="31">
        <f>Q36/I36</f>
        <v>0.83004748884731616</v>
      </c>
      <c r="Z36"/>
      <c r="AA36"/>
    </row>
    <row r="37" spans="1:29" ht="14" x14ac:dyDescent="0.2">
      <c r="A37" s="25" t="s">
        <v>39</v>
      </c>
      <c r="B37" s="131">
        <v>3783</v>
      </c>
      <c r="C37" s="131">
        <v>4120</v>
      </c>
      <c r="D37" s="131">
        <v>4497</v>
      </c>
      <c r="E37" s="131">
        <v>4467</v>
      </c>
      <c r="F37" s="131">
        <v>4000</v>
      </c>
      <c r="G37" s="131">
        <v>3490</v>
      </c>
      <c r="H37" s="180">
        <v>4257</v>
      </c>
      <c r="I37" s="180">
        <v>5167</v>
      </c>
      <c r="J37" s="112">
        <v>3561</v>
      </c>
      <c r="K37" s="112">
        <v>4080</v>
      </c>
      <c r="L37" s="112">
        <v>4212</v>
      </c>
      <c r="M37" s="112">
        <v>4181</v>
      </c>
      <c r="N37" s="112">
        <v>3399</v>
      </c>
      <c r="O37" s="112">
        <v>3078</v>
      </c>
      <c r="P37" s="112">
        <v>3710</v>
      </c>
      <c r="Q37" s="112">
        <v>3936</v>
      </c>
      <c r="R37" s="113">
        <f t="shared" si="13"/>
        <v>0.94131641554321965</v>
      </c>
      <c r="S37" s="113">
        <f t="shared" si="13"/>
        <v>0.99029126213592233</v>
      </c>
      <c r="T37" s="113">
        <f t="shared" si="13"/>
        <v>0.93662441627751836</v>
      </c>
      <c r="U37" s="113">
        <f t="shared" si="13"/>
        <v>0.93597492724423548</v>
      </c>
      <c r="V37" s="113">
        <f t="shared" si="13"/>
        <v>0.84975000000000001</v>
      </c>
      <c r="W37" s="31">
        <f t="shared" si="13"/>
        <v>0.88194842406876794</v>
      </c>
      <c r="X37" s="31">
        <f t="shared" si="7"/>
        <v>0.8715057552266855</v>
      </c>
      <c r="Y37" s="31">
        <f>Q37/I37</f>
        <v>0.76175730598025937</v>
      </c>
      <c r="Z37"/>
      <c r="AA37"/>
    </row>
    <row r="38" spans="1:29" ht="14" x14ac:dyDescent="0.2">
      <c r="A38" s="25" t="s">
        <v>40</v>
      </c>
      <c r="B38" s="131">
        <v>6017</v>
      </c>
      <c r="C38" s="131">
        <v>6898</v>
      </c>
      <c r="D38" s="131">
        <v>6521</v>
      </c>
      <c r="E38" s="131">
        <v>5943</v>
      </c>
      <c r="F38" s="131">
        <v>5882</v>
      </c>
      <c r="G38" s="131">
        <v>4715</v>
      </c>
      <c r="H38" s="180">
        <v>5449</v>
      </c>
      <c r="I38" s="180">
        <v>5832</v>
      </c>
      <c r="J38" s="112">
        <v>5120</v>
      </c>
      <c r="K38" s="112">
        <v>5418</v>
      </c>
      <c r="L38" s="112">
        <v>5570</v>
      </c>
      <c r="M38" s="112">
        <v>5076</v>
      </c>
      <c r="N38" s="112">
        <v>4987</v>
      </c>
      <c r="O38" s="112">
        <v>3990</v>
      </c>
      <c r="P38" s="112">
        <v>4598</v>
      </c>
      <c r="Q38" s="112">
        <v>4809</v>
      </c>
      <c r="R38" s="113">
        <f t="shared" si="13"/>
        <v>0.85092238657138108</v>
      </c>
      <c r="S38" s="113">
        <f t="shared" si="13"/>
        <v>0.78544505653812702</v>
      </c>
      <c r="T38" s="113">
        <f t="shared" si="13"/>
        <v>0.85416347186014419</v>
      </c>
      <c r="U38" s="113">
        <f t="shared" si="13"/>
        <v>0.85411408379606257</v>
      </c>
      <c r="V38" s="113">
        <f t="shared" si="13"/>
        <v>0.84784087045222711</v>
      </c>
      <c r="W38" s="31">
        <f t="shared" si="13"/>
        <v>0.8462354188759279</v>
      </c>
      <c r="X38" s="31">
        <f t="shared" si="7"/>
        <v>0.8438245549642136</v>
      </c>
      <c r="Y38" s="31">
        <f>Q38/I38</f>
        <v>0.82458847736625518</v>
      </c>
      <c r="Z38"/>
      <c r="AA38"/>
    </row>
    <row r="39" spans="1:29" ht="14" x14ac:dyDescent="0.2">
      <c r="A39" s="25" t="s">
        <v>53</v>
      </c>
      <c r="B39" s="131">
        <v>1656</v>
      </c>
      <c r="C39" s="131">
        <v>1217</v>
      </c>
      <c r="D39" s="131">
        <v>877</v>
      </c>
      <c r="E39" s="131">
        <v>964</v>
      </c>
      <c r="F39" s="131">
        <v>3048</v>
      </c>
      <c r="G39" s="131">
        <v>4225</v>
      </c>
      <c r="H39" s="180">
        <v>4089</v>
      </c>
      <c r="I39" s="180">
        <v>4605</v>
      </c>
      <c r="J39" s="112">
        <v>1350</v>
      </c>
      <c r="K39" s="112">
        <v>631</v>
      </c>
      <c r="L39" s="112">
        <v>776</v>
      </c>
      <c r="M39" s="112">
        <v>819</v>
      </c>
      <c r="N39" s="112">
        <v>1345</v>
      </c>
      <c r="O39" s="112">
        <v>1524</v>
      </c>
      <c r="P39" s="112">
        <v>1461</v>
      </c>
      <c r="Q39" s="112">
        <v>1367</v>
      </c>
      <c r="R39" s="113">
        <f t="shared" si="13"/>
        <v>0.81521739130434778</v>
      </c>
      <c r="S39" s="113">
        <f t="shared" si="13"/>
        <v>0.51848808545603942</v>
      </c>
      <c r="T39" s="113">
        <f t="shared" si="13"/>
        <v>0.88483466362599772</v>
      </c>
      <c r="U39" s="113">
        <f t="shared" si="13"/>
        <v>0.84958506224066388</v>
      </c>
      <c r="V39" s="113">
        <f t="shared" si="13"/>
        <v>0.44127296587926507</v>
      </c>
      <c r="W39" s="31">
        <f t="shared" si="13"/>
        <v>0.36071005917159765</v>
      </c>
      <c r="X39" s="31">
        <f t="shared" si="7"/>
        <v>0.35730007336757152</v>
      </c>
      <c r="Y39" s="31">
        <f>Q39/I39</f>
        <v>0.29685124864277956</v>
      </c>
      <c r="Z39"/>
      <c r="AA39"/>
    </row>
    <row r="40" spans="1:29" ht="15" x14ac:dyDescent="0.2">
      <c r="A40" s="51" t="s">
        <v>41</v>
      </c>
      <c r="B40" s="25"/>
      <c r="C40" s="25"/>
      <c r="D40" s="25"/>
      <c r="E40" s="25"/>
      <c r="F40" s="25"/>
      <c r="G40" s="25"/>
      <c r="H40" s="95"/>
      <c r="I40" s="95"/>
      <c r="J40" s="112"/>
      <c r="K40" s="112"/>
      <c r="L40" s="112"/>
      <c r="M40" s="112"/>
      <c r="N40" s="112"/>
      <c r="O40" s="112"/>
      <c r="P40" s="112"/>
      <c r="Q40" s="112"/>
      <c r="R40" s="113"/>
      <c r="S40" s="113"/>
      <c r="T40" s="113"/>
      <c r="U40" s="113"/>
      <c r="V40" s="113"/>
      <c r="W40" s="31"/>
      <c r="X40" s="31"/>
      <c r="Y40" s="31"/>
      <c r="Z40"/>
      <c r="AA40"/>
    </row>
    <row r="41" spans="1:29" ht="14" x14ac:dyDescent="0.2">
      <c r="A41" s="25" t="s">
        <v>102</v>
      </c>
      <c r="B41" s="131">
        <v>4924</v>
      </c>
      <c r="C41" s="131">
        <v>5362</v>
      </c>
      <c r="D41" s="131">
        <v>5721</v>
      </c>
      <c r="E41" s="131">
        <v>6020</v>
      </c>
      <c r="F41" s="131">
        <v>6853</v>
      </c>
      <c r="G41" s="131">
        <v>7120</v>
      </c>
      <c r="H41" s="180">
        <v>6858</v>
      </c>
      <c r="I41" s="180">
        <v>7278</v>
      </c>
      <c r="J41" s="112">
        <v>4436</v>
      </c>
      <c r="K41" s="112">
        <v>4846</v>
      </c>
      <c r="L41" s="112">
        <v>5271</v>
      </c>
      <c r="M41" s="112">
        <v>5558</v>
      </c>
      <c r="N41" s="112">
        <v>5899</v>
      </c>
      <c r="O41" s="112">
        <v>5952</v>
      </c>
      <c r="P41" s="112">
        <v>5662</v>
      </c>
      <c r="Q41" s="112">
        <v>6126</v>
      </c>
      <c r="R41" s="113">
        <f t="shared" ref="R41:W43" si="14">J41/B41</f>
        <v>0.90089358245328999</v>
      </c>
      <c r="S41" s="113">
        <f t="shared" si="14"/>
        <v>0.90376725102573663</v>
      </c>
      <c r="T41" s="113">
        <f t="shared" si="14"/>
        <v>0.92134242265338229</v>
      </c>
      <c r="U41" s="113">
        <f t="shared" si="14"/>
        <v>0.92325581395348832</v>
      </c>
      <c r="V41" s="113">
        <f t="shared" si="14"/>
        <v>0.86079089449875967</v>
      </c>
      <c r="W41" s="31">
        <f t="shared" si="14"/>
        <v>0.83595505617977528</v>
      </c>
      <c r="X41" s="31">
        <f t="shared" si="7"/>
        <v>0.82560513269174685</v>
      </c>
      <c r="Y41" s="31">
        <f>Q41/I41</f>
        <v>0.84171475680131902</v>
      </c>
      <c r="Z41"/>
      <c r="AA41"/>
    </row>
    <row r="42" spans="1:29" ht="14" x14ac:dyDescent="0.2">
      <c r="A42" s="25" t="s">
        <v>42</v>
      </c>
      <c r="B42" s="131">
        <v>6000</v>
      </c>
      <c r="C42" s="131">
        <v>6337</v>
      </c>
      <c r="D42" s="131">
        <v>6491</v>
      </c>
      <c r="E42" s="131">
        <v>6841</v>
      </c>
      <c r="F42" s="131">
        <v>7374</v>
      </c>
      <c r="G42" s="131">
        <v>7414</v>
      </c>
      <c r="H42" s="180">
        <v>7568</v>
      </c>
      <c r="I42" s="180">
        <v>7305</v>
      </c>
      <c r="J42" s="112">
        <v>4981</v>
      </c>
      <c r="K42" s="112">
        <v>5210</v>
      </c>
      <c r="L42" s="112">
        <v>5381</v>
      </c>
      <c r="M42" s="112">
        <v>5404</v>
      </c>
      <c r="N42" s="112">
        <v>5659</v>
      </c>
      <c r="O42" s="112">
        <v>5746</v>
      </c>
      <c r="P42" s="112">
        <v>5971</v>
      </c>
      <c r="Q42" s="112">
        <v>5737</v>
      </c>
      <c r="R42" s="113">
        <f t="shared" si="14"/>
        <v>0.83016666666666672</v>
      </c>
      <c r="S42" s="113">
        <f t="shared" si="14"/>
        <v>0.8221555941297144</v>
      </c>
      <c r="T42" s="113">
        <f t="shared" si="14"/>
        <v>0.8289939916807888</v>
      </c>
      <c r="U42" s="113">
        <f t="shared" si="14"/>
        <v>0.78994299079082009</v>
      </c>
      <c r="V42" s="113">
        <f t="shared" si="14"/>
        <v>0.76742609167344722</v>
      </c>
      <c r="W42" s="31">
        <f t="shared" si="14"/>
        <v>0.77502023199352577</v>
      </c>
      <c r="X42" s="31">
        <f t="shared" si="7"/>
        <v>0.78897991543340384</v>
      </c>
      <c r="Y42" s="31">
        <f>Q42/I42</f>
        <v>0.78535249828884324</v>
      </c>
      <c r="Z42"/>
      <c r="AA42"/>
    </row>
    <row r="43" spans="1:29" ht="14" x14ac:dyDescent="0.2">
      <c r="A43" s="25" t="s">
        <v>43</v>
      </c>
      <c r="B43" s="131">
        <v>9603</v>
      </c>
      <c r="C43" s="131">
        <v>9243</v>
      </c>
      <c r="D43" s="131">
        <v>10373</v>
      </c>
      <c r="E43" s="131">
        <v>10371</v>
      </c>
      <c r="F43" s="131">
        <v>10422</v>
      </c>
      <c r="G43" s="131">
        <v>10849</v>
      </c>
      <c r="H43" s="180">
        <v>10054</v>
      </c>
      <c r="I43" s="180">
        <v>10525</v>
      </c>
      <c r="J43" s="112">
        <v>7720</v>
      </c>
      <c r="K43" s="112">
        <v>7403</v>
      </c>
      <c r="L43" s="112">
        <v>7958</v>
      </c>
      <c r="M43" s="112">
        <v>7989</v>
      </c>
      <c r="N43" s="112">
        <v>7895</v>
      </c>
      <c r="O43" s="112">
        <v>8392</v>
      </c>
      <c r="P43" s="112">
        <v>7832</v>
      </c>
      <c r="Q43" s="112">
        <v>8109</v>
      </c>
      <c r="R43" s="113">
        <f t="shared" si="14"/>
        <v>0.80391544309070084</v>
      </c>
      <c r="S43" s="113">
        <f t="shared" si="14"/>
        <v>0.80093043384182627</v>
      </c>
      <c r="T43" s="113">
        <f t="shared" si="14"/>
        <v>0.76718403547671843</v>
      </c>
      <c r="U43" s="113">
        <f t="shared" si="14"/>
        <v>0.77032108764824991</v>
      </c>
      <c r="V43" s="113">
        <f t="shared" si="14"/>
        <v>0.7575321435425062</v>
      </c>
      <c r="W43" s="31">
        <f t="shared" si="14"/>
        <v>0.77352751405659503</v>
      </c>
      <c r="X43" s="31">
        <f t="shared" si="7"/>
        <v>0.77899343544857769</v>
      </c>
      <c r="Y43" s="31">
        <f>Q43/I43</f>
        <v>0.77045130641330162</v>
      </c>
      <c r="AB43" s="2"/>
    </row>
    <row r="44" spans="1:29" ht="15" x14ac:dyDescent="0.2">
      <c r="A44" s="51" t="s">
        <v>46</v>
      </c>
      <c r="B44" s="25"/>
      <c r="C44" s="25"/>
      <c r="D44" s="25"/>
      <c r="E44" s="25"/>
      <c r="F44" s="25"/>
      <c r="G44" s="25"/>
      <c r="H44" s="95"/>
      <c r="I44" s="95"/>
      <c r="J44" s="112"/>
      <c r="K44" s="112"/>
      <c r="L44" s="112"/>
      <c r="M44" s="112"/>
      <c r="N44" s="112"/>
      <c r="O44" s="112"/>
      <c r="P44" s="112"/>
      <c r="Q44" s="112"/>
      <c r="R44" s="113"/>
      <c r="S44" s="113"/>
      <c r="T44" s="113"/>
      <c r="U44" s="113"/>
      <c r="V44" s="113"/>
      <c r="W44" s="31"/>
      <c r="X44" s="31"/>
      <c r="Y44" s="31"/>
      <c r="AB44" s="2"/>
    </row>
    <row r="45" spans="1:29" ht="14" x14ac:dyDescent="0.2">
      <c r="A45" s="25" t="s">
        <v>47</v>
      </c>
      <c r="B45" s="131">
        <v>2166</v>
      </c>
      <c r="C45" s="131">
        <v>2237</v>
      </c>
      <c r="D45" s="131">
        <v>2536</v>
      </c>
      <c r="E45" s="131">
        <v>2517</v>
      </c>
      <c r="F45" s="131">
        <v>3267</v>
      </c>
      <c r="G45" s="131">
        <v>3839</v>
      </c>
      <c r="H45" s="180">
        <v>3538</v>
      </c>
      <c r="I45" s="180">
        <v>3616</v>
      </c>
      <c r="J45" s="112">
        <v>1943</v>
      </c>
      <c r="K45" s="112">
        <v>1931</v>
      </c>
      <c r="L45" s="112">
        <v>2175</v>
      </c>
      <c r="M45" s="112">
        <v>1909</v>
      </c>
      <c r="N45" s="112">
        <v>1951</v>
      </c>
      <c r="O45" s="112">
        <v>2554</v>
      </c>
      <c r="P45" s="112">
        <v>2453</v>
      </c>
      <c r="Q45" s="112">
        <v>2487</v>
      </c>
      <c r="R45" s="113">
        <f t="shared" ref="R45:W45" si="15">J45/B45</f>
        <v>0.89704524469067404</v>
      </c>
      <c r="S45" s="113">
        <f t="shared" si="15"/>
        <v>0.86320965578900311</v>
      </c>
      <c r="T45" s="113">
        <f t="shared" si="15"/>
        <v>0.85764984227129337</v>
      </c>
      <c r="U45" s="113">
        <f t="shared" si="15"/>
        <v>0.75844259038537942</v>
      </c>
      <c r="V45" s="113">
        <f t="shared" si="15"/>
        <v>0.59718396082032443</v>
      </c>
      <c r="W45" s="31">
        <f t="shared" si="15"/>
        <v>0.66527741599374834</v>
      </c>
      <c r="X45" s="31">
        <f t="shared" si="7"/>
        <v>0.69332956472583385</v>
      </c>
      <c r="Y45" s="31">
        <f>Q45/I45</f>
        <v>0.68777654867256632</v>
      </c>
      <c r="AB45" s="2"/>
      <c r="AC45" s="2"/>
    </row>
    <row r="46" spans="1:29" ht="15" x14ac:dyDescent="0.2">
      <c r="A46" s="51" t="s">
        <v>44</v>
      </c>
      <c r="B46" s="25"/>
      <c r="C46" s="25"/>
      <c r="D46" s="25"/>
      <c r="E46" s="25"/>
      <c r="F46" s="25"/>
      <c r="G46" s="25"/>
      <c r="H46" s="95"/>
      <c r="I46" s="95"/>
      <c r="J46" s="112"/>
      <c r="K46" s="112"/>
      <c r="L46" s="112"/>
      <c r="M46" s="112"/>
      <c r="N46" s="112"/>
      <c r="O46" s="112"/>
      <c r="P46" s="112"/>
      <c r="Q46" s="112"/>
      <c r="R46" s="113"/>
      <c r="S46" s="113"/>
      <c r="T46" s="113"/>
      <c r="U46" s="113"/>
      <c r="V46" s="113"/>
      <c r="W46" s="31"/>
      <c r="X46" s="31"/>
      <c r="Y46" s="31"/>
      <c r="AB46" s="2"/>
      <c r="AC46" s="2"/>
    </row>
    <row r="47" spans="1:29" ht="14" x14ac:dyDescent="0.2">
      <c r="A47" s="25" t="s">
        <v>45</v>
      </c>
      <c r="B47" s="131">
        <v>7668</v>
      </c>
      <c r="C47" s="131">
        <v>8276</v>
      </c>
      <c r="D47" s="131">
        <v>9362</v>
      </c>
      <c r="E47" s="131">
        <v>9703</v>
      </c>
      <c r="F47" s="131">
        <v>10049</v>
      </c>
      <c r="G47" s="131">
        <v>12902</v>
      </c>
      <c r="H47" s="180">
        <v>15404</v>
      </c>
      <c r="I47" s="180">
        <v>15447</v>
      </c>
      <c r="J47" s="112">
        <v>6539</v>
      </c>
      <c r="K47" s="112">
        <v>7089</v>
      </c>
      <c r="L47" s="112">
        <v>7949</v>
      </c>
      <c r="M47" s="112">
        <v>7639</v>
      </c>
      <c r="N47" s="112">
        <v>9206</v>
      </c>
      <c r="O47" s="112">
        <v>12057</v>
      </c>
      <c r="P47" s="112">
        <v>14212</v>
      </c>
      <c r="Q47" s="112">
        <v>15062</v>
      </c>
      <c r="R47" s="113">
        <f t="shared" ref="R47:W47" si="16">J47/B47</f>
        <v>0.85276473656755347</v>
      </c>
      <c r="S47" s="113">
        <f t="shared" si="16"/>
        <v>0.85657322377960365</v>
      </c>
      <c r="T47" s="113">
        <f t="shared" si="16"/>
        <v>0.84907071138645585</v>
      </c>
      <c r="U47" s="113">
        <f t="shared" si="16"/>
        <v>0.78728228382974341</v>
      </c>
      <c r="V47" s="113">
        <f t="shared" si="16"/>
        <v>0.91611105582645036</v>
      </c>
      <c r="W47" s="31">
        <f t="shared" si="16"/>
        <v>0.93450627809641917</v>
      </c>
      <c r="X47" s="31">
        <f t="shared" si="7"/>
        <v>0.9226175019475461</v>
      </c>
      <c r="Y47" s="31">
        <f>Q47/I47</f>
        <v>0.97507606655013923</v>
      </c>
      <c r="AB47" s="2"/>
      <c r="AC47" s="2"/>
    </row>
    <row r="48" spans="1:29" ht="15" x14ac:dyDescent="0.2">
      <c r="A48" s="33" t="s">
        <v>48</v>
      </c>
      <c r="B48" s="25"/>
      <c r="C48" s="25"/>
      <c r="D48" s="25"/>
      <c r="E48" s="25"/>
      <c r="F48" s="25"/>
      <c r="G48" s="25"/>
      <c r="H48" s="95"/>
      <c r="I48" s="95"/>
      <c r="J48" s="112"/>
      <c r="K48" s="112"/>
      <c r="L48" s="112"/>
      <c r="M48" s="112"/>
      <c r="N48" s="112"/>
      <c r="O48" s="112"/>
      <c r="P48" s="112"/>
      <c r="Q48" s="112"/>
      <c r="R48" s="113"/>
      <c r="S48" s="113"/>
      <c r="T48" s="113"/>
      <c r="U48" s="113"/>
      <c r="V48" s="113"/>
      <c r="W48" s="31"/>
      <c r="X48" s="31"/>
      <c r="Y48" s="31"/>
      <c r="AB48" s="2"/>
      <c r="AC48" s="2"/>
    </row>
    <row r="49" spans="1:29" ht="14" x14ac:dyDescent="0.2">
      <c r="A49" s="25" t="s">
        <v>49</v>
      </c>
      <c r="B49" s="131">
        <v>3343</v>
      </c>
      <c r="C49" s="131">
        <v>3364</v>
      </c>
      <c r="D49" s="131">
        <v>3438</v>
      </c>
      <c r="E49" s="131">
        <v>3190</v>
      </c>
      <c r="F49" s="131">
        <v>3067</v>
      </c>
      <c r="G49" s="131">
        <v>3399</v>
      </c>
      <c r="H49" s="180">
        <v>3488</v>
      </c>
      <c r="I49" s="180">
        <v>3157</v>
      </c>
      <c r="J49" s="112">
        <v>2589</v>
      </c>
      <c r="K49" s="112">
        <v>2507</v>
      </c>
      <c r="L49" s="112">
        <v>2886</v>
      </c>
      <c r="M49" s="112">
        <v>2563</v>
      </c>
      <c r="N49" s="112">
        <v>2629</v>
      </c>
      <c r="O49" s="112">
        <v>3008</v>
      </c>
      <c r="P49" s="112">
        <v>3029</v>
      </c>
      <c r="Q49" s="112">
        <v>2710</v>
      </c>
      <c r="R49" s="113">
        <f t="shared" ref="R49:W50" si="17">J49/B49</f>
        <v>0.77445408315883935</v>
      </c>
      <c r="S49" s="113">
        <f t="shared" si="17"/>
        <v>0.74524375743162896</v>
      </c>
      <c r="T49" s="113">
        <f t="shared" si="17"/>
        <v>0.83944153577661429</v>
      </c>
      <c r="U49" s="113">
        <f t="shared" si="17"/>
        <v>0.80344827586206902</v>
      </c>
      <c r="V49" s="113">
        <f t="shared" si="17"/>
        <v>0.85718943593087704</v>
      </c>
      <c r="W49" s="31">
        <f t="shared" si="17"/>
        <v>0.88496616651956461</v>
      </c>
      <c r="X49" s="31">
        <f t="shared" si="7"/>
        <v>0.86840596330275233</v>
      </c>
      <c r="Y49" s="31">
        <f>Q49/I49</f>
        <v>0.85840988280012676</v>
      </c>
      <c r="AB49" s="2"/>
      <c r="AC49" s="2"/>
    </row>
    <row r="50" spans="1:29" ht="14" x14ac:dyDescent="0.2">
      <c r="A50" s="25" t="s">
        <v>50</v>
      </c>
      <c r="B50" s="131">
        <v>4235</v>
      </c>
      <c r="C50" s="131">
        <v>3974</v>
      </c>
      <c r="D50" s="131">
        <v>3888</v>
      </c>
      <c r="E50" s="131">
        <v>4638</v>
      </c>
      <c r="F50" s="131">
        <v>5181</v>
      </c>
      <c r="G50" s="131">
        <v>4429</v>
      </c>
      <c r="H50" s="180">
        <v>5585</v>
      </c>
      <c r="I50" s="180">
        <v>5251</v>
      </c>
      <c r="J50" s="112">
        <v>4071</v>
      </c>
      <c r="K50" s="112">
        <v>3993</v>
      </c>
      <c r="L50" s="112">
        <v>3855</v>
      </c>
      <c r="M50" s="112">
        <v>4660</v>
      </c>
      <c r="N50" s="112">
        <v>4838</v>
      </c>
      <c r="O50" s="112">
        <v>3917</v>
      </c>
      <c r="P50" s="112">
        <v>4919</v>
      </c>
      <c r="Q50" s="112">
        <v>4752</v>
      </c>
      <c r="R50" s="113">
        <f t="shared" si="17"/>
        <v>0.96127508854781585</v>
      </c>
      <c r="S50" s="113">
        <f t="shared" si="17"/>
        <v>1.0047810770005032</v>
      </c>
      <c r="T50" s="113">
        <f t="shared" si="17"/>
        <v>0.99151234567901236</v>
      </c>
      <c r="U50" s="113">
        <f t="shared" si="17"/>
        <v>1.0047434238896076</v>
      </c>
      <c r="V50" s="113">
        <f t="shared" si="17"/>
        <v>0.93379656436981273</v>
      </c>
      <c r="W50" s="31">
        <f t="shared" si="17"/>
        <v>0.88439828403702869</v>
      </c>
      <c r="X50" s="31">
        <f t="shared" si="7"/>
        <v>0.88075201432408234</v>
      </c>
      <c r="Y50" s="31">
        <f>Q50/I50</f>
        <v>0.904970481812988</v>
      </c>
      <c r="AB50" s="2"/>
      <c r="AC50" s="2"/>
    </row>
    <row r="51" spans="1:29" ht="15" x14ac:dyDescent="0.2">
      <c r="A51" s="51" t="s">
        <v>51</v>
      </c>
      <c r="B51" s="25"/>
      <c r="C51" s="25"/>
      <c r="D51" s="25"/>
      <c r="E51" s="25"/>
      <c r="F51" s="25"/>
      <c r="G51" s="25"/>
      <c r="H51" s="95"/>
      <c r="I51" s="95"/>
      <c r="J51" s="112"/>
      <c r="K51" s="112"/>
      <c r="L51" s="112"/>
      <c r="M51" s="112"/>
      <c r="N51" s="112"/>
      <c r="O51" s="112"/>
      <c r="P51" s="112"/>
      <c r="Q51" s="112"/>
      <c r="R51" s="113"/>
      <c r="S51" s="113"/>
      <c r="T51" s="113"/>
      <c r="U51" s="113"/>
      <c r="V51" s="113"/>
      <c r="W51" s="31"/>
      <c r="X51" s="31"/>
      <c r="Y51" s="31"/>
      <c r="AB51" s="2"/>
      <c r="AC51" s="2"/>
    </row>
    <row r="52" spans="1:29" ht="14" x14ac:dyDescent="0.2">
      <c r="A52" s="25" t="s">
        <v>52</v>
      </c>
      <c r="B52" s="131">
        <v>7285</v>
      </c>
      <c r="C52" s="131">
        <v>7730</v>
      </c>
      <c r="D52" s="131">
        <v>8609</v>
      </c>
      <c r="E52" s="131">
        <v>9606</v>
      </c>
      <c r="F52" s="131">
        <v>10158</v>
      </c>
      <c r="G52" s="131">
        <v>10790</v>
      </c>
      <c r="H52" s="180">
        <v>11154</v>
      </c>
      <c r="I52" s="180">
        <v>11084</v>
      </c>
      <c r="J52" s="112">
        <v>5943</v>
      </c>
      <c r="K52" s="112">
        <v>6999</v>
      </c>
      <c r="L52" s="112">
        <v>7757</v>
      </c>
      <c r="M52" s="112">
        <v>8292</v>
      </c>
      <c r="N52" s="112">
        <v>9401</v>
      </c>
      <c r="O52" s="112">
        <v>10079</v>
      </c>
      <c r="P52" s="112">
        <v>9854</v>
      </c>
      <c r="Q52" s="112">
        <v>9388</v>
      </c>
      <c r="R52" s="113">
        <f t="shared" ref="R52:W53" si="18">J52/B52</f>
        <v>0.81578586135895681</v>
      </c>
      <c r="S52" s="113">
        <f t="shared" si="18"/>
        <v>0.9054333764553687</v>
      </c>
      <c r="T52" s="113">
        <f t="shared" si="18"/>
        <v>0.90103380183528869</v>
      </c>
      <c r="U52" s="113">
        <f t="shared" si="18"/>
        <v>0.86321049344159895</v>
      </c>
      <c r="V52" s="113">
        <f t="shared" si="18"/>
        <v>0.92547745619216382</v>
      </c>
      <c r="W52" s="31">
        <f t="shared" si="18"/>
        <v>0.93410565338276186</v>
      </c>
      <c r="X52" s="31">
        <f t="shared" si="7"/>
        <v>0.8834498834498834</v>
      </c>
      <c r="Y52" s="31">
        <f>Q52/I52</f>
        <v>0.84698664741970409</v>
      </c>
      <c r="AB52" s="2"/>
      <c r="AC52" s="2"/>
    </row>
    <row r="53" spans="1:29" ht="14" x14ac:dyDescent="0.2">
      <c r="A53" s="52" t="s">
        <v>81</v>
      </c>
      <c r="B53" s="181">
        <f>SUM(B7:B52)</f>
        <v>292854</v>
      </c>
      <c r="C53" s="181">
        <f t="shared" ref="C53:G53" si="19">SUM(C7:C52)</f>
        <v>302472</v>
      </c>
      <c r="D53" s="181">
        <f t="shared" si="19"/>
        <v>309639</v>
      </c>
      <c r="E53" s="181">
        <f t="shared" si="19"/>
        <v>316607</v>
      </c>
      <c r="F53" s="181">
        <f t="shared" si="19"/>
        <v>324877</v>
      </c>
      <c r="G53" s="181">
        <f t="shared" si="19"/>
        <v>333514</v>
      </c>
      <c r="H53" s="182">
        <f t="shared" ref="H53" si="20">SUM(H7:H52)</f>
        <v>341421</v>
      </c>
      <c r="I53" s="182">
        <f>SUM(I7:I52)</f>
        <v>346800</v>
      </c>
      <c r="J53" s="114">
        <v>234999</v>
      </c>
      <c r="K53" s="114">
        <v>244431</v>
      </c>
      <c r="L53" s="114">
        <v>256472</v>
      </c>
      <c r="M53" s="114">
        <v>267244</v>
      </c>
      <c r="N53" s="114">
        <v>272155</v>
      </c>
      <c r="O53" s="114">
        <v>280672</v>
      </c>
      <c r="P53" s="114">
        <v>285846</v>
      </c>
      <c r="Q53" s="114">
        <f>SUM(Q7:Q52)</f>
        <v>286216</v>
      </c>
      <c r="R53" s="113">
        <f t="shared" si="18"/>
        <v>0.80244422135261939</v>
      </c>
      <c r="S53" s="113">
        <f t="shared" si="18"/>
        <v>0.80811116400856942</v>
      </c>
      <c r="T53" s="113">
        <f t="shared" si="18"/>
        <v>0.82829359350727783</v>
      </c>
      <c r="U53" s="113">
        <f t="shared" si="18"/>
        <v>0.84408746490128139</v>
      </c>
      <c r="V53" s="113">
        <f t="shared" si="18"/>
        <v>0.83771704368114697</v>
      </c>
      <c r="W53" s="31">
        <f t="shared" si="18"/>
        <v>0.84155987454799497</v>
      </c>
      <c r="X53" s="31">
        <f t="shared" si="7"/>
        <v>0.83722442380521411</v>
      </c>
      <c r="Y53" s="31">
        <f>Q53/I53</f>
        <v>0.82530565167243364</v>
      </c>
      <c r="AB53" s="2"/>
      <c r="AC53" s="2"/>
    </row>
    <row r="54" spans="1:29" s="82" customFormat="1" ht="14" x14ac:dyDescent="0.2">
      <c r="A54" s="78"/>
      <c r="B54" s="109" t="s">
        <v>125</v>
      </c>
      <c r="C54" s="137"/>
      <c r="D54" s="137"/>
      <c r="E54" s="137"/>
      <c r="F54" s="137"/>
      <c r="G54" s="137"/>
      <c r="H54" s="137"/>
      <c r="I54" s="137"/>
      <c r="J54" s="84"/>
      <c r="K54" s="84"/>
      <c r="L54" s="84"/>
      <c r="M54" s="84"/>
      <c r="N54" s="84"/>
      <c r="O54" s="84"/>
      <c r="P54" s="84"/>
      <c r="Q54" s="84"/>
      <c r="R54" s="81"/>
      <c r="S54" s="78"/>
      <c r="T54" s="78"/>
      <c r="U54" s="78"/>
      <c r="V54" s="78"/>
      <c r="W54" s="78"/>
      <c r="X54" s="78"/>
      <c r="Y54" s="78"/>
      <c r="Z54" s="78"/>
      <c r="AA54" s="78"/>
    </row>
    <row r="55" spans="1:29" s="82" customFormat="1" ht="14" x14ac:dyDescent="0.2">
      <c r="A55" s="78"/>
      <c r="B55" s="40"/>
      <c r="C55" s="96"/>
      <c r="D55" s="78"/>
      <c r="E55" s="81"/>
      <c r="F55" s="81"/>
      <c r="G55" s="81"/>
      <c r="H55" s="81"/>
      <c r="I55" s="81"/>
      <c r="J55" s="78"/>
      <c r="K55" s="78"/>
      <c r="L55" s="78"/>
      <c r="M55" s="78"/>
      <c r="N55" s="78"/>
      <c r="O55" s="78"/>
      <c r="P55" s="81"/>
      <c r="Q55" s="81"/>
      <c r="R55" s="81"/>
      <c r="S55" s="78"/>
      <c r="T55" s="78"/>
      <c r="U55" s="78"/>
      <c r="V55" s="78"/>
      <c r="W55" s="78"/>
      <c r="X55" s="78"/>
      <c r="Y55" s="78"/>
      <c r="Z55" s="78"/>
      <c r="AA55" s="78"/>
    </row>
    <row r="56" spans="1:29" s="82" customFormat="1" ht="14" x14ac:dyDescent="0.2">
      <c r="A56" s="78"/>
      <c r="B56" s="109" t="s">
        <v>185</v>
      </c>
      <c r="C56" s="97"/>
      <c r="D56" s="97"/>
      <c r="E56" s="98"/>
      <c r="F56" s="98"/>
      <c r="G56" s="98"/>
      <c r="H56" s="98"/>
      <c r="I56" s="98"/>
      <c r="J56" s="97"/>
      <c r="K56" s="97"/>
      <c r="L56" s="97"/>
      <c r="M56" s="97"/>
      <c r="N56" s="97"/>
      <c r="O56" s="97"/>
      <c r="P56" s="98"/>
      <c r="Q56" s="98"/>
      <c r="R56" s="98"/>
      <c r="S56" s="97"/>
      <c r="T56" s="97"/>
      <c r="U56" s="97"/>
      <c r="V56" s="97"/>
      <c r="W56" s="97"/>
      <c r="X56" s="78"/>
      <c r="Y56" s="78"/>
      <c r="Z56" s="78"/>
      <c r="AA56" s="78"/>
    </row>
    <row r="57" spans="1:29" s="82" customFormat="1" ht="14" x14ac:dyDescent="0.2">
      <c r="A57" s="78"/>
      <c r="B57" s="86" t="s">
        <v>130</v>
      </c>
      <c r="C57" s="78"/>
      <c r="D57" s="78"/>
      <c r="E57" s="81"/>
      <c r="F57" s="81"/>
      <c r="G57" s="81"/>
      <c r="H57" s="81"/>
      <c r="I57" s="81"/>
      <c r="J57" s="78"/>
      <c r="K57" s="78"/>
      <c r="L57" s="78"/>
      <c r="M57" s="78"/>
      <c r="N57" s="78"/>
      <c r="O57" s="78"/>
      <c r="P57" s="81"/>
      <c r="Q57" s="81"/>
      <c r="R57" s="81"/>
      <c r="S57" s="78"/>
      <c r="T57" s="78"/>
      <c r="U57" s="78"/>
      <c r="V57" s="78"/>
      <c r="W57" s="78"/>
      <c r="X57" s="78"/>
      <c r="Y57" s="78"/>
      <c r="Z57" s="78"/>
      <c r="AA57" s="78"/>
    </row>
    <row r="58" spans="1:29" s="82" customFormat="1" ht="14" x14ac:dyDescent="0.2">
      <c r="A58" s="78"/>
      <c r="C58" s="78"/>
      <c r="D58" s="78"/>
      <c r="E58" s="81"/>
      <c r="F58" s="81"/>
      <c r="G58" s="81"/>
      <c r="H58" s="81"/>
      <c r="I58" s="81"/>
      <c r="J58" s="78"/>
      <c r="K58" s="78"/>
      <c r="L58" s="78"/>
      <c r="M58" s="78"/>
      <c r="N58" s="78"/>
      <c r="O58" s="78"/>
      <c r="P58" s="81"/>
      <c r="Q58" s="81"/>
      <c r="R58" s="81"/>
      <c r="S58" s="78"/>
      <c r="T58" s="78"/>
      <c r="U58" s="78"/>
      <c r="V58" s="78"/>
      <c r="W58" s="78"/>
      <c r="X58" s="78"/>
      <c r="Y58" s="78"/>
      <c r="Z58" s="78"/>
      <c r="AA58" s="78"/>
    </row>
    <row r="59" spans="1:29" x14ac:dyDescent="0.15">
      <c r="B59" s="104"/>
    </row>
    <row r="60" spans="1:29" x14ac:dyDescent="0.15">
      <c r="B60" s="105"/>
    </row>
    <row r="61" spans="1:29" x14ac:dyDescent="0.15">
      <c r="B61" s="104"/>
    </row>
  </sheetData>
  <mergeCells count="4">
    <mergeCell ref="B4:I4"/>
    <mergeCell ref="J4:Q4"/>
    <mergeCell ref="A3:Y3"/>
    <mergeCell ref="R4:Y4"/>
  </mergeCells>
  <phoneticPr fontId="5" type="noConversion"/>
  <hyperlinks>
    <hyperlink ref="A1" location="Contents!A1" display="&lt;Back to contents&gt;"/>
  </hyperlinks>
  <pageMargins left="0.39370078740157483" right="0.31496062992125984" top="0.39370078740157483" bottom="0.31496062992125984" header="0" footer="0"/>
  <pageSetup paperSize="8" scale="76"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92D050"/>
    <pageSetUpPr fitToPage="1"/>
  </sheetPr>
  <dimension ref="A1:B28"/>
  <sheetViews>
    <sheetView workbookViewId="0">
      <selection activeCell="B27" sqref="B27"/>
    </sheetView>
  </sheetViews>
  <sheetFormatPr baseColWidth="10" defaultColWidth="8.83203125" defaultRowHeight="13" x14ac:dyDescent="0.15"/>
  <cols>
    <col min="1" max="1" width="42.83203125" customWidth="1"/>
    <col min="2" max="2" width="57.5" customWidth="1"/>
  </cols>
  <sheetData>
    <row r="1" spans="1:2" s="82" customFormat="1" ht="14" x14ac:dyDescent="0.2">
      <c r="A1" s="99" t="s">
        <v>56</v>
      </c>
    </row>
    <row r="2" spans="1:2" ht="19" x14ac:dyDescent="0.25">
      <c r="A2" s="14" t="s">
        <v>183</v>
      </c>
    </row>
    <row r="3" spans="1:2" ht="20" thickBot="1" x14ac:dyDescent="0.3">
      <c r="A3" s="14"/>
    </row>
    <row r="4" spans="1:2" ht="16" thickTop="1" x14ac:dyDescent="0.15">
      <c r="A4" s="116" t="s">
        <v>132</v>
      </c>
      <c r="B4" s="119" t="s">
        <v>148</v>
      </c>
    </row>
    <row r="5" spans="1:2" ht="15" x14ac:dyDescent="0.15">
      <c r="A5" s="117" t="s">
        <v>133</v>
      </c>
      <c r="B5" s="120" t="s">
        <v>149</v>
      </c>
    </row>
    <row r="6" spans="1:2" ht="15" x14ac:dyDescent="0.15">
      <c r="A6" s="117" t="s">
        <v>134</v>
      </c>
      <c r="B6" s="120" t="s">
        <v>150</v>
      </c>
    </row>
    <row r="7" spans="1:2" ht="15" x14ac:dyDescent="0.15">
      <c r="A7" s="117" t="s">
        <v>135</v>
      </c>
      <c r="B7" s="120" t="s">
        <v>151</v>
      </c>
    </row>
    <row r="8" spans="1:2" ht="15" x14ac:dyDescent="0.15">
      <c r="A8" s="117" t="s">
        <v>136</v>
      </c>
      <c r="B8" s="120" t="s">
        <v>152</v>
      </c>
    </row>
    <row r="9" spans="1:2" ht="15" x14ac:dyDescent="0.15">
      <c r="A9" s="117" t="s">
        <v>137</v>
      </c>
      <c r="B9" s="120" t="s">
        <v>153</v>
      </c>
    </row>
    <row r="10" spans="1:2" ht="15" x14ac:dyDescent="0.15">
      <c r="A10" s="117" t="s">
        <v>138</v>
      </c>
      <c r="B10" s="120"/>
    </row>
    <row r="11" spans="1:2" ht="15" x14ac:dyDescent="0.15">
      <c r="A11" s="117" t="s">
        <v>139</v>
      </c>
      <c r="B11" s="121" t="s">
        <v>154</v>
      </c>
    </row>
    <row r="12" spans="1:2" ht="15" x14ac:dyDescent="0.15">
      <c r="A12" s="117" t="s">
        <v>140</v>
      </c>
      <c r="B12" s="120" t="s">
        <v>155</v>
      </c>
    </row>
    <row r="13" spans="1:2" ht="15" x14ac:dyDescent="0.15">
      <c r="A13" s="117"/>
      <c r="B13" s="120" t="s">
        <v>156</v>
      </c>
    </row>
    <row r="14" spans="1:2" ht="15" x14ac:dyDescent="0.15">
      <c r="A14" s="118" t="s">
        <v>141</v>
      </c>
      <c r="B14" s="120" t="s">
        <v>161</v>
      </c>
    </row>
    <row r="15" spans="1:2" ht="15" x14ac:dyDescent="0.15">
      <c r="A15" s="117" t="s">
        <v>142</v>
      </c>
      <c r="B15" s="120" t="s">
        <v>157</v>
      </c>
    </row>
    <row r="16" spans="1:2" ht="15" x14ac:dyDescent="0.15">
      <c r="A16" s="117" t="s">
        <v>143</v>
      </c>
      <c r="B16" s="120" t="s">
        <v>158</v>
      </c>
    </row>
    <row r="17" spans="1:2" ht="15" x14ac:dyDescent="0.15">
      <c r="A17" s="117" t="s">
        <v>144</v>
      </c>
      <c r="B17" s="120" t="s">
        <v>159</v>
      </c>
    </row>
    <row r="18" spans="1:2" ht="15" x14ac:dyDescent="0.15">
      <c r="A18" s="117" t="s">
        <v>145</v>
      </c>
      <c r="B18" s="122"/>
    </row>
    <row r="19" spans="1:2" ht="15" x14ac:dyDescent="0.15">
      <c r="A19" s="117" t="s">
        <v>146</v>
      </c>
      <c r="B19" s="122"/>
    </row>
    <row r="20" spans="1:2" ht="16" thickBot="1" x14ac:dyDescent="0.2">
      <c r="A20" s="167" t="s">
        <v>147</v>
      </c>
      <c r="B20" s="168"/>
    </row>
    <row r="22" spans="1:2" ht="14" x14ac:dyDescent="0.2">
      <c r="A22" s="82"/>
      <c r="B22" s="107"/>
    </row>
    <row r="23" spans="1:2" s="42" customFormat="1" x14ac:dyDescent="0.15">
      <c r="A23" s="226" t="s">
        <v>162</v>
      </c>
      <c r="B23" s="226"/>
    </row>
    <row r="24" spans="1:2" x14ac:dyDescent="0.15">
      <c r="A24" s="226"/>
      <c r="B24" s="226"/>
    </row>
    <row r="25" spans="1:2" x14ac:dyDescent="0.15">
      <c r="A25" s="226"/>
      <c r="B25" s="226"/>
    </row>
    <row r="26" spans="1:2" x14ac:dyDescent="0.15">
      <c r="B26" s="105"/>
    </row>
    <row r="27" spans="1:2" ht="15" x14ac:dyDescent="0.15">
      <c r="A27" s="169"/>
      <c r="B27" s="104"/>
    </row>
    <row r="28" spans="1:2" x14ac:dyDescent="0.15">
      <c r="B28" s="49"/>
    </row>
  </sheetData>
  <mergeCells count="1">
    <mergeCell ref="A23:B25"/>
  </mergeCells>
  <hyperlinks>
    <hyperlink ref="A1" location="Contents!A1" display="&lt;Back to contents&gt;"/>
  </hyperlinks>
  <pageMargins left="0.7" right="0.7" top="0.75" bottom="0.75" header="0.3" footer="0.3"/>
  <pageSetup paperSize="9" scale="8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CorePublishingDocumentCategory xmlns="c0b4bd0a-f6ac-422c-a0b2-ddc3a705a698" xsi:nil="true"/>
    <IncludeInContentRollups xmlns="850cf280-4ef5-4aef-ad1f-24f16ab81918">false</IncludeInContentRollups>
    <KeywordsLookupField xmlns="c0b4bd0a-f6ac-422c-a0b2-ddc3a705a698"/>
    <CorePublishingFileReference xmlns="850cf280-4ef5-4aef-ad1f-24f16ab81918" xsi:nil="true"/>
    <IncludeInNotificationsAndUpdates xmlns="850cf280-4ef5-4aef-ad1f-24f16ab81918">true</IncludeInNotificationsAndUpdates>
    <CorePublishingDocumentContact xmlns="850cf280-4ef5-4aef-ad1f-24f16ab81918">
      <UserInfo>
        <DisplayName/>
        <AccountId xsi:nil="true"/>
        <AccountType/>
      </UserInfo>
    </CorePublishingDocumentContact>
    <IPSCategory xmlns="850cf280-4ef5-4aef-ad1f-24f16ab81918" xsi:nil="true"/>
    <SubjectLookupField xmlns="c0b4bd0a-f6ac-422c-a0b2-ddc3a705a698"/>
    <PublishingExpirationDate xmlns="http://schemas.microsoft.com/sharepoint/v3" xsi:nil="true"/>
    <CorePublishingComments xmlns="850cf280-4ef5-4aef-ad1f-24f16ab81918" xsi:nil="true"/>
    <PublishingStartDate xmlns="http://schemas.microsoft.com/sharepoint/v3" xsi:nil="true"/>
    <IncludeInRSSFeeds xmlns="850cf280-4ef5-4aef-ad1f-24f16ab81918">false</IncludeInRSSFeeds>
    <CorePublishingDocumentChangeDescription xmlns="850cf280-4ef5-4aef-ad1f-24f16ab81918" xsi:nil="true"/>
    <DocumentRollupCategory xmlns="c0b4bd0a-f6ac-422c-a0b2-ddc3a705a698"/>
  </documentManagement>
</p:properties>
</file>

<file path=customXml/item4.xml><?xml version="1.0" encoding="utf-8"?>
<ct:contentTypeSchema xmlns:ct="http://schemas.microsoft.com/office/2006/metadata/contentType" xmlns:ma="http://schemas.microsoft.com/office/2006/metadata/properties/metaAttributes" ct:_="" ma:_="" ma:contentTypeName="Core Publishing Document" ma:contentTypeID="0x01010097F86F0C24D64525B252BB20BD9D45A7009B15DC48F94ED24DBBB221CD5DBD16C7" ma:contentTypeVersion="18" ma:contentTypeDescription="Core Publishing Document, inherited from OOTB document." ma:contentTypeScope="" ma:versionID="0fe7c148299c8328b52202efd6a069db">
  <xsd:schema xmlns:xsd="http://www.w3.org/2001/XMLSchema" xmlns:xs="http://www.w3.org/2001/XMLSchema" xmlns:p="http://schemas.microsoft.com/office/2006/metadata/properties" xmlns:ns1="http://schemas.microsoft.com/sharepoint/v3" xmlns:ns2="850cf280-4ef5-4aef-ad1f-24f16ab81918" xmlns:ns3="c0b4bd0a-f6ac-422c-a0b2-ddc3a705a698" targetNamespace="http://schemas.microsoft.com/office/2006/metadata/properties" ma:root="true" ma:fieldsID="80d223d2bbf58311a2251df9b1bcf188" ns1:_="" ns2:_="" ns3:_="">
    <xsd:import namespace="http://schemas.microsoft.com/sharepoint/v3"/>
    <xsd:import namespace="850cf280-4ef5-4aef-ad1f-24f16ab81918"/>
    <xsd:import namespace="c0b4bd0a-f6ac-422c-a0b2-ddc3a705a698"/>
    <xsd:element name="properties">
      <xsd:complexType>
        <xsd:sequence>
          <xsd:element name="documentManagement">
            <xsd:complexType>
              <xsd:all>
                <xsd:element ref="ns2:CorePublishingComments" minOccurs="0"/>
                <xsd:element ref="ns1:PublishingStartDate" minOccurs="0"/>
                <xsd:element ref="ns1:PublishingExpirationDate" minOccurs="0"/>
                <xsd:element ref="ns2:CorePublishingDocumentContact" minOccurs="0"/>
                <xsd:element ref="ns3:SubjectLookupField" minOccurs="0"/>
                <xsd:element ref="ns3:KeywordsLookupField" minOccurs="0"/>
                <xsd:element ref="ns3:CorePublishingDocumentCategory" minOccurs="0"/>
                <xsd:element ref="ns2:IPSCategory" minOccurs="0"/>
                <xsd:element ref="ns2:CorePublishingFileReference" minOccurs="0"/>
                <xsd:element ref="ns2:IncludeInNotificationsAndUpdates" minOccurs="0"/>
                <xsd:element ref="ns2:IncludeInContentRollups" minOccurs="0"/>
                <xsd:element ref="ns2:IncludeInRSSFeeds" minOccurs="0"/>
                <xsd:element ref="ns2:CorePublishingDocumentChangeDescription" minOccurs="0"/>
                <xsd:element ref="ns3:DocumentRollupCategor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9" nillable="true" ma:displayName="Start Date" ma:description="" ma:internalName="PublishingStartDate">
      <xsd:simpleType>
        <xsd:restriction base="dms:Unknown"/>
      </xsd:simpleType>
    </xsd:element>
    <xsd:element name="PublishingExpirationDate" ma:index="10" nillable="true" ma:displayName="End Date" ma:description=""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50cf280-4ef5-4aef-ad1f-24f16ab81918" elementFormDefault="qualified">
    <xsd:import namespace="http://schemas.microsoft.com/office/2006/documentManagement/types"/>
    <xsd:import namespace="http://schemas.microsoft.com/office/infopath/2007/PartnerControls"/>
    <xsd:element name="CorePublishingComments" ma:index="8" nillable="true" ma:displayName="Description" ma:description="Used for DC.Description metadata." ma:internalName="CorePublishingComments">
      <xsd:simpleType>
        <xsd:restriction base="dms:Note">
          <xsd:maxLength value="255"/>
        </xsd:restriction>
      </xsd:simpleType>
    </xsd:element>
    <xsd:element name="CorePublishingDocumentContact" ma:index="11" nillable="true" ma:displayName="Document Contact" ma:list="UserInfo" ma:internalName="CorePublishingDocumentContact"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IPSCategory" ma:index="15" nillable="true" ma:displayName="IPS Category" ma:description="Used for FOI/IPS categorisation." ma:format="Dropdown" ma:internalName="IPSCategory">
      <xsd:simpleType>
        <xsd:restriction base="dms:Choice">
          <xsd:enumeration value="1. Who we are"/>
          <xsd:enumeration value="2. What we do"/>
          <xsd:enumeration value="3. Our reports"/>
          <xsd:enumeration value="4. Consultation"/>
          <xsd:enumeration value="5. Our strategic and business priorities"/>
          <xsd:enumeration value="6. Routinely requested information"/>
          <xsd:enumeration value="7. Our finances"/>
          <xsd:enumeration value="8. Our lists"/>
          <xsd:enumeration value="9. Our submissions"/>
          <xsd:enumeration value="10. Our policies"/>
        </xsd:restriction>
      </xsd:simpleType>
    </xsd:element>
    <xsd:element name="CorePublishingFileReference" ma:index="16" nillable="true" ma:displayName="File Reference" ma:description="Audit Requirement." ma:internalName="CorePublishingFileReference" ma:readOnly="false">
      <xsd:simpleType>
        <xsd:restriction base="dms:Text"/>
      </xsd:simpleType>
    </xsd:element>
    <xsd:element name="IncludeInNotificationsAndUpdates" ma:index="17" nillable="true" ma:displayName="Include in Email Updates" ma:default="1" ma:internalName="IncludeInNotificationsAndUpdates">
      <xsd:simpleType>
        <xsd:restriction base="dms:Boolean"/>
      </xsd:simpleType>
    </xsd:element>
    <xsd:element name="IncludeInContentRollups" ma:index="18" nillable="true" ma:displayName="Include In Content Rollups" ma:default="0" ma:description="Used at the site owners' discretion to include/exclude pages from 'rollup' web parts such as content queries." ma:internalName="IncludeInContentRollups">
      <xsd:simpleType>
        <xsd:restriction base="dms:Boolean"/>
      </xsd:simpleType>
    </xsd:element>
    <xsd:element name="IncludeInRSSFeeds" ma:index="19" nillable="true" ma:displayName="Include In RSS Feeds" ma:default="0" ma:description="Used at the site owners' discretion to include/exclude documents from RSS feeds." ma:internalName="IncludeInRSSFeeds">
      <xsd:simpleType>
        <xsd:restriction base="dms:Boolean"/>
      </xsd:simpleType>
    </xsd:element>
    <xsd:element name="CorePublishingDocumentChangeDescription" ma:index="20" nillable="true" ma:displayName="Document Change Description" ma:description="Description of the current version of the document - can be of assistance to reviewers/approvers (and can be included in the workflow emails)." ma:internalName="CorePublishingDocumentChangeDescription">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0b4bd0a-f6ac-422c-a0b2-ddc3a705a698" elementFormDefault="qualified">
    <xsd:import namespace="http://schemas.microsoft.com/office/2006/documentManagement/types"/>
    <xsd:import namespace="http://schemas.microsoft.com/office/infopath/2007/PartnerControls"/>
    <xsd:element name="SubjectLookupField" ma:index="12" nillable="true" ma:displayName="Subject" ma:list="4a441248-04bf-4c62-8747-8bfb61e5e21c" ma:internalName="SubjectLookupField" ma:showField="Title" ma:web="c0b4bd0a-f6ac-422c-a0b2-ddc3a705a698">
      <xsd:complexType>
        <xsd:complexContent>
          <xsd:extension base="dms:MultiChoiceLookup">
            <xsd:sequence>
              <xsd:element name="Value" type="dms:Lookup" maxOccurs="unbounded" minOccurs="0" nillable="true"/>
            </xsd:sequence>
          </xsd:extension>
        </xsd:complexContent>
      </xsd:complexType>
    </xsd:element>
    <xsd:element name="KeywordsLookupField" ma:index="13" nillable="true" ma:displayName="Keywords" ma:list="fbec0be5-db93-4c03-a796-ce5d02f374a3" ma:internalName="KeywordsLookupField" ma:showField="Title" ma:web="c0b4bd0a-f6ac-422c-a0b2-ddc3a705a698">
      <xsd:complexType>
        <xsd:complexContent>
          <xsd:extension base="dms:MultiChoiceLookup">
            <xsd:sequence>
              <xsd:element name="Value" type="dms:Lookup" maxOccurs="unbounded" minOccurs="0" nillable="true"/>
            </xsd:sequence>
          </xsd:extension>
        </xsd:complexContent>
      </xsd:complexType>
    </xsd:element>
    <xsd:element name="CorePublishingDocumentCategory" ma:index="14" nillable="true" ma:displayName="Document Category" ma:description="Document Type list is used for source data. Used for DC.Type.documentType metadata." ma:list="{233fae74-8b6e-4f87-8db3-5052d625541f}" ma:internalName="CorePublishingDocumentCategory" ma:showField="Title" ma:web="{c0b4bd0a-f6ac-422c-a0b2-ddc3a705a698}">
      <xsd:simpleType>
        <xsd:restriction base="dms:Lookup"/>
      </xsd:simpleType>
    </xsd:element>
    <xsd:element name="DocumentRollupCategory" ma:index="21" nillable="true" ma:displayName="Rollup Category" ma:description="Document Rollup Category list is used for source data, populated by the site owners. Used at the site owners' discretion to include/exclude certain categories of pages in rollups." ma:list="{6ca4ea36-3739-485e-8e04-ddf89b384e56}" ma:internalName="DocumentRollupCategory" ma:showField="Title" ma:web="{c0b4bd0a-f6ac-422c-a0b2-ddc3a705a69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89BDB2-242C-4878-AF5C-1FA133C92B1C}">
  <ds:schemaRefs>
    <ds:schemaRef ds:uri="http://schemas.microsoft.com/office/2006/metadata/longProperties"/>
  </ds:schemaRefs>
</ds:datastoreItem>
</file>

<file path=customXml/itemProps2.xml><?xml version="1.0" encoding="utf-8"?>
<ds:datastoreItem xmlns:ds="http://schemas.openxmlformats.org/officeDocument/2006/customXml" ds:itemID="{27B4BED0-A41B-4166-802D-6B23E629F897}">
  <ds:schemaRefs>
    <ds:schemaRef ds:uri="http://schemas.microsoft.com/sharepoint/v3/contenttype/forms"/>
  </ds:schemaRefs>
</ds:datastoreItem>
</file>

<file path=customXml/itemProps3.xml><?xml version="1.0" encoding="utf-8"?>
<ds:datastoreItem xmlns:ds="http://schemas.openxmlformats.org/officeDocument/2006/customXml" ds:itemID="{23F4230D-3F9D-459D-BC8D-671EB593AF33}">
  <ds:schemaRefs>
    <ds:schemaRef ds:uri="http://schemas.microsoft.com/office/2006/documentManagement/types"/>
    <ds:schemaRef ds:uri="http://purl.org/dc/terms/"/>
    <ds:schemaRef ds:uri="c0b4bd0a-f6ac-422c-a0b2-ddc3a705a698"/>
    <ds:schemaRef ds:uri="850cf280-4ef5-4aef-ad1f-24f16ab81918"/>
    <ds:schemaRef ds:uri="http://purl.org/dc/elements/1.1/"/>
    <ds:schemaRef ds:uri="http://purl.org/dc/dcmitype/"/>
    <ds:schemaRef ds:uri="http://schemas.microsoft.com/office/infopath/2007/PartnerControls"/>
    <ds:schemaRef ds:uri="http://schemas.openxmlformats.org/package/2006/metadata/core-properties"/>
    <ds:schemaRef ds:uri="http://schemas.microsoft.com/sharepoint/v3"/>
    <ds:schemaRef ds:uri="http://schemas.microsoft.com/office/2006/metadata/properties"/>
    <ds:schemaRef ds:uri="http://www.w3.org/XML/1998/namespace"/>
  </ds:schemaRefs>
</ds:datastoreItem>
</file>

<file path=customXml/itemProps4.xml><?xml version="1.0" encoding="utf-8"?>
<ds:datastoreItem xmlns:ds="http://schemas.openxmlformats.org/officeDocument/2006/customXml" ds:itemID="{C69ACDAB-9AB1-4482-870F-98ABC8CAC2E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850cf280-4ef5-4aef-ad1f-24f16ab81918"/>
    <ds:schemaRef ds:uri="c0b4bd0a-f6ac-422c-a0b2-ddc3a705a6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Contents</vt:lpstr>
      <vt:lpstr>Table A1</vt:lpstr>
      <vt:lpstr>Table A2</vt:lpstr>
      <vt:lpstr>Table A3</vt:lpstr>
      <vt:lpstr>Tables A4.1 and A4.2</vt:lpstr>
      <vt:lpstr>Table A5</vt:lpstr>
      <vt:lpstr>Table A6</vt:lpstr>
      <vt:lpstr>Table A7</vt:lpstr>
      <vt:lpstr>Tables A8.1 and A8.2</vt:lpstr>
      <vt:lpstr>Tables A9.1 and A9.2</vt:lpstr>
      <vt:lpstr>Table A10</vt:lpstr>
      <vt:lpstr>Table A11</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Undergraduate Applications Offers and Acceptances 2012 appendices</dc:title>
  <dc:creator>L'HUILLIER,Glenn</dc:creator>
  <cp:lastModifiedBy>Microsoft Office User</cp:lastModifiedBy>
  <cp:lastPrinted>2016-10-11T22:52:50Z</cp:lastPrinted>
  <dcterms:created xsi:type="dcterms:W3CDTF">2010-06-21T01:06:29Z</dcterms:created>
  <dcterms:modified xsi:type="dcterms:W3CDTF">2018-05-07T12:09:22Z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ndigenous">
    <vt:lpwstr/>
  </property>
  <property fmtid="{D5CDD505-2E9C-101B-9397-08002B2CF9AE}" pid="3" name="xd_Signature">
    <vt:lpwstr/>
  </property>
  <property fmtid="{D5CDD505-2E9C-101B-9397-08002B2CF9AE}" pid="4" name="TemplateUrl">
    <vt:lpwstr/>
  </property>
  <property fmtid="{D5CDD505-2E9C-101B-9397-08002B2CF9AE}" pid="5" name="xd_ProgID">
    <vt:lpwstr/>
  </property>
  <property fmtid="{D5CDD505-2E9C-101B-9397-08002B2CF9AE}" pid="6" name="Youth">
    <vt:lpwstr/>
  </property>
  <property fmtid="{D5CDD505-2E9C-101B-9397-08002B2CF9AE}" pid="7" name="WorkplaceRelations">
    <vt:lpwstr/>
  </property>
  <property fmtid="{D5CDD505-2E9C-101B-9397-08002B2CF9AE}" pid="8" name="TheDepartment">
    <vt:lpwstr/>
  </property>
  <property fmtid="{D5CDD505-2E9C-101B-9397-08002B2CF9AE}" pid="9" name="International">
    <vt:lpwstr/>
  </property>
  <property fmtid="{D5CDD505-2E9C-101B-9397-08002B2CF9AE}" pid="10" name="Skills">
    <vt:lpwstr/>
  </property>
  <property fmtid="{D5CDD505-2E9C-101B-9397-08002B2CF9AE}" pid="11" name="Employment">
    <vt:lpwstr/>
  </property>
  <property fmtid="{D5CDD505-2E9C-101B-9397-08002B2CF9AE}" pid="12" name="_SourceUrl">
    <vt:lpwstr/>
  </property>
  <property fmtid="{D5CDD505-2E9C-101B-9397-08002B2CF9AE}" pid="13" name="EarlyChildhood">
    <vt:lpwstr/>
  </property>
  <property fmtid="{D5CDD505-2E9C-101B-9397-08002B2CF9AE}" pid="14" name="Schooling">
    <vt:lpwstr/>
  </property>
  <property fmtid="{D5CDD505-2E9C-101B-9397-08002B2CF9AE}" pid="15" name="HigherEducation">
    <vt:lpwstr>1</vt:lpwstr>
  </property>
  <property fmtid="{D5CDD505-2E9C-101B-9397-08002B2CF9AE}" pid="16" name="PublishingContact">
    <vt:lpwstr>449</vt:lpwstr>
  </property>
  <property fmtid="{D5CDD505-2E9C-101B-9397-08002B2CF9AE}" pid="17" name="display_urn:schemas-microsoft-com:office:office#PublishingContact">
    <vt:lpwstr>Quality Assurance</vt:lpwstr>
  </property>
  <property fmtid="{D5CDD505-2E9C-101B-9397-08002B2CF9AE}" pid="18" name="FunctionLookupField">
    <vt:lpwstr/>
  </property>
  <property fmtid="{D5CDD505-2E9C-101B-9397-08002B2CF9AE}" pid="19" name="Document Category">
    <vt:lpwstr/>
  </property>
  <property fmtid="{D5CDD505-2E9C-101B-9397-08002B2CF9AE}" pid="20" name="Resources">
    <vt:lpwstr/>
  </property>
  <property fmtid="{D5CDD505-2E9C-101B-9397-08002B2CF9AE}" pid="21" name="AudienceField">
    <vt:lpwstr/>
  </property>
  <property fmtid="{D5CDD505-2E9C-101B-9397-08002B2CF9AE}" pid="22" name="Comments">
    <vt:lpwstr/>
  </property>
</Properties>
</file>